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Formação\05_Mestrado (ISCTE)\1Ano\1Semestre\ADS\PG\docs\"/>
    </mc:Choice>
  </mc:AlternateContent>
  <xr:revisionPtr revIDLastSave="0" documentId="13_ncr:1_{5442231E-9E5B-4B6C-BD97-603A1B378B3E}" xr6:coauthVersionLast="47" xr6:coauthVersionMax="47" xr10:uidLastSave="{00000000-0000-0000-0000-000000000000}"/>
  <bookViews>
    <workbookView xWindow="-120" yWindow="-120" windowWidth="38640" windowHeight="21120" activeTab="1" xr2:uid="{7DEC2CA6-CF89-4290-8B80-2E392530E8C2}"/>
  </bookViews>
  <sheets>
    <sheet name="Test Check to US" sheetId="3" r:id="rId1"/>
    <sheet name="BURNDOWN CHART 1ºSprint" sheetId="4" r:id="rId2"/>
    <sheet name="BURNDOWN CHART 2ºSprint " sheetId="5" r:id="rId3"/>
    <sheet name="BURNDOWN CHART 3ºSprint " sheetId="6" r:id="rId4"/>
    <sheet name="BURNDOWN CHART 4ºSprint" sheetId="7" r:id="rId5"/>
    <sheet name="BURNDOWN CHART 5ºSprin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8" l="1"/>
  <c r="G11" i="8" s="1"/>
  <c r="G12" i="8" s="1"/>
  <c r="G13" i="8" s="1"/>
  <c r="G14" i="8" s="1"/>
  <c r="F10" i="8"/>
  <c r="F11" i="8" s="1"/>
  <c r="F12" i="8" s="1"/>
  <c r="F13" i="8" s="1"/>
  <c r="F14" i="8" s="1"/>
  <c r="C9" i="8"/>
  <c r="G10" i="7"/>
  <c r="G11" i="7" s="1"/>
  <c r="G12" i="7" s="1"/>
  <c r="G13" i="7" s="1"/>
  <c r="G14" i="7" s="1"/>
  <c r="G15" i="7" s="1"/>
  <c r="F10" i="7"/>
  <c r="F11" i="7" s="1"/>
  <c r="F12" i="7" s="1"/>
  <c r="F13" i="7" s="1"/>
  <c r="F14" i="7" s="1"/>
  <c r="F15" i="7" s="1"/>
  <c r="C9" i="7"/>
  <c r="G10" i="6"/>
  <c r="G11" i="6" s="1"/>
  <c r="G12" i="6" s="1"/>
  <c r="G13" i="6" s="1"/>
  <c r="G14" i="6" s="1"/>
  <c r="G15" i="6" s="1"/>
  <c r="F10" i="6"/>
  <c r="F11" i="6" s="1"/>
  <c r="F12" i="6" s="1"/>
  <c r="F13" i="6" s="1"/>
  <c r="F14" i="6" s="1"/>
  <c r="F15" i="6" s="1"/>
  <c r="C9" i="6"/>
  <c r="G11" i="5"/>
  <c r="G12" i="5" s="1"/>
  <c r="G13" i="5" s="1"/>
  <c r="G14" i="5" s="1"/>
  <c r="G15" i="5" s="1"/>
  <c r="F11" i="5"/>
  <c r="F12" i="5" s="1"/>
  <c r="F13" i="5" s="1"/>
  <c r="F14" i="5" s="1"/>
  <c r="F15" i="5" s="1"/>
  <c r="G10" i="5"/>
  <c r="F10" i="5"/>
  <c r="C9" i="5"/>
  <c r="G10" i="4"/>
  <c r="G11" i="4" s="1"/>
  <c r="G12" i="4" s="1"/>
  <c r="G13" i="4" s="1"/>
  <c r="G14" i="4" s="1"/>
  <c r="G15" i="4" s="1"/>
  <c r="F10" i="4"/>
  <c r="F11" i="4" s="1"/>
  <c r="F12" i="4" s="1"/>
  <c r="F13" i="4" s="1"/>
  <c r="F14" i="4" s="1"/>
  <c r="F15" i="4" s="1"/>
  <c r="C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8FC61AB6-CA70-4377-8D40-C054F83A7715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Change the timescale that you need e.g. Sprint or Iteration.</t>
        </r>
      </text>
    </comment>
    <comment ref="D8" authorId="0" shapeId="0" xr:uid="{4C8FAD7A-1C61-47B0-B52A-CA220137CCC0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of story points you plan to complete.</t>
        </r>
      </text>
    </comment>
    <comment ref="G8" authorId="0" shapeId="0" xr:uid="{E695F20C-8624-4AE4-8CFE-C47FC2D138F2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or story points actually remaining at the end of each day/iteration/sprint.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58F86887-EA75-4C7C-8B5F-FACE6A0D8816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Change the timescale that you need e.g. Sprint or Iteration.</t>
        </r>
      </text>
    </comment>
    <comment ref="D8" authorId="0" shapeId="0" xr:uid="{D682965B-4DB7-4ACD-97FA-63B843AEB71F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of story points you plan to complete.</t>
        </r>
      </text>
    </comment>
    <comment ref="G8" authorId="0" shapeId="0" xr:uid="{4BA95643-D1CF-404E-B33F-41299826FAC3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or story points actually remaining at the end of each day/iteration/sprint.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B5882579-8F2F-4252-A6E3-15DA6ABBD059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Change the timescale that you need e.g. Sprint or Iteration.</t>
        </r>
      </text>
    </comment>
    <comment ref="D8" authorId="0" shapeId="0" xr:uid="{2DFAF56B-30EB-42FA-AA46-18C03AF6FF90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of story points you plan to complete.</t>
        </r>
      </text>
    </comment>
    <comment ref="G8" authorId="0" shapeId="0" xr:uid="{50652F0C-8507-4808-BD64-A39A0D7B7A83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or story points actually remaining at the end of each day/iteration/sprint.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4C812AD6-6EA8-4070-8406-49DBAB5FD8FA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Change the timescale that you need e.g. Sprint or Iteration.</t>
        </r>
      </text>
    </comment>
    <comment ref="D8" authorId="0" shapeId="0" xr:uid="{C58F6887-4DCD-46B4-8D44-292B289A9B53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of story points you plan to complete.</t>
        </r>
      </text>
    </comment>
    <comment ref="G8" authorId="0" shapeId="0" xr:uid="{CDD22C07-54FF-4292-86FF-9F659ED5D912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or story points actually remaining at the end of each day/iteration/sprint.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C6B3CC1A-98D4-4A8F-A3C4-8B3AE501E280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Change the timescale that you need e.g. Sprint or Iteration.</t>
        </r>
      </text>
    </comment>
    <comment ref="D8" authorId="0" shapeId="0" xr:uid="{EBAA20D5-5595-4EE9-89FD-D85E72572D53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of story points you plan to complete.</t>
        </r>
      </text>
    </comment>
    <comment ref="G8" authorId="0" shapeId="0" xr:uid="{BD91B354-6403-4213-B504-F1A597EDFB69}">
      <text>
        <r>
          <rPr>
            <sz val="11"/>
            <color rgb="FF000000"/>
            <rFont val="Calibri"/>
            <family val="2"/>
            <charset val="1"/>
          </rPr>
          <t xml:space="preserve">stakeholdermap.com:
</t>
        </r>
        <r>
          <rPr>
            <sz val="9"/>
            <color rgb="FF000000"/>
            <rFont val="Tahoma"/>
            <family val="2"/>
            <charset val="1"/>
          </rPr>
          <t>Number of features or story points actually remaining at the end of each day/iteration/sprint.</t>
        </r>
      </text>
    </comment>
  </commentList>
</comments>
</file>

<file path=xl/sharedStrings.xml><?xml version="1.0" encoding="utf-8"?>
<sst xmlns="http://schemas.openxmlformats.org/spreadsheetml/2006/main" count="111" uniqueCount="57">
  <si>
    <t>TEST CHECK</t>
  </si>
  <si>
    <t>List of Use Story</t>
  </si>
  <si>
    <t>Test case title</t>
  </si>
  <si>
    <t>Overview</t>
  </si>
  <si>
    <t>Status</t>
  </si>
  <si>
    <t>Classification of issue</t>
  </si>
  <si>
    <t>Type of issue</t>
  </si>
  <si>
    <t>US01</t>
  </si>
  <si>
    <t>Passed</t>
  </si>
  <si>
    <t>Servertity</t>
  </si>
  <si>
    <t>Issue type</t>
  </si>
  <si>
    <t>US02</t>
  </si>
  <si>
    <t>Not tested</t>
  </si>
  <si>
    <t>Urgent</t>
  </si>
  <si>
    <t>Sub-Task</t>
  </si>
  <si>
    <t>This is the sub-task of an issue. In a logged issue, there can be different tasks to resolve it, which are called as sub-tasks.</t>
  </si>
  <si>
    <t>US03</t>
  </si>
  <si>
    <t>In progress</t>
  </si>
  <si>
    <t>High</t>
  </si>
  <si>
    <t>Bug</t>
  </si>
  <si>
    <t>A problem that impairs or prevents the functions of the product.</t>
  </si>
  <si>
    <t>US04</t>
  </si>
  <si>
    <t>Blocked</t>
  </si>
  <si>
    <t>Medium</t>
  </si>
  <si>
    <t>Epic</t>
  </si>
  <si>
    <t>A big user story that needs to be broken down. Created by JIRA Software - do not edit or delete.</t>
  </si>
  <si>
    <t>US05</t>
  </si>
  <si>
    <t>Failed</t>
  </si>
  <si>
    <t>Low</t>
  </si>
  <si>
    <t>Improvement</t>
  </si>
  <si>
    <t>An improvement or enhancement to an existing feature or task.</t>
  </si>
  <si>
    <t>US06</t>
  </si>
  <si>
    <t>None</t>
  </si>
  <si>
    <t>US07</t>
  </si>
  <si>
    <t>US08</t>
  </si>
  <si>
    <t>US09</t>
  </si>
  <si>
    <t>BURNDOWN CHART 1º SPRINT</t>
  </si>
  <si>
    <t>Days</t>
  </si>
  <si>
    <t>Goal</t>
  </si>
  <si>
    <t>Done</t>
  </si>
  <si>
    <t>Goal velocity</t>
  </si>
  <si>
    <t>Remaining</t>
  </si>
  <si>
    <t>Date (NOV)</t>
  </si>
  <si>
    <t>Date (DEZ)</t>
  </si>
  <si>
    <t>Como programador, quero submeter o código Java do meu projeto para análise, para que o sistema possa identificar problemas e calcular métricas de qualidade.</t>
  </si>
  <si>
    <r>
      <t xml:space="preserve">Como programador, quero que o sistema detete automaticamente </t>
    </r>
    <r>
      <rPr>
        <i/>
        <sz val="12"/>
        <color theme="1"/>
        <rFont val="Aptos"/>
        <family val="2"/>
      </rPr>
      <t>bugs</t>
    </r>
    <r>
      <rPr>
        <sz val="12"/>
        <color theme="1"/>
        <rFont val="Aptos"/>
        <family val="2"/>
      </rPr>
      <t xml:space="preserve">, </t>
    </r>
    <r>
      <rPr>
        <i/>
        <sz val="12"/>
        <color theme="1"/>
        <rFont val="Aptos"/>
        <family val="2"/>
      </rPr>
      <t>code</t>
    </r>
    <r>
      <rPr>
        <sz val="12"/>
        <color theme="1"/>
        <rFont val="Aptos"/>
        <family val="2"/>
      </rPr>
      <t xml:space="preserve"> </t>
    </r>
    <r>
      <rPr>
        <i/>
        <sz val="12"/>
        <color theme="1"/>
        <rFont val="Aptos"/>
        <family val="2"/>
      </rPr>
      <t>smells</t>
    </r>
    <r>
      <rPr>
        <sz val="12"/>
        <color theme="1"/>
        <rFont val="Aptos"/>
        <family val="2"/>
      </rPr>
      <t xml:space="preserve"> e vulnerabilidades de segurança, para que eu possa corrigir problemas críticos antes de integrar o código.</t>
    </r>
  </si>
  <si>
    <t>Como gestor de equipa, quero visualizar diversas métricas de qualidade de cada análise, para que poder acompanhar o estado geral em que se encontra o projeto.</t>
  </si>
  <si>
    <r>
      <t xml:space="preserve">Como gestor do projeto, quero personalizar as métricas de qualidade que vou usar e os </t>
    </r>
    <r>
      <rPr>
        <i/>
        <sz val="12"/>
        <color theme="1"/>
        <rFont val="Aptos"/>
        <family val="2"/>
      </rPr>
      <t>thresholds</t>
    </r>
    <r>
      <rPr>
        <sz val="12"/>
        <color theme="1"/>
        <rFont val="Aptos"/>
        <family val="2"/>
      </rPr>
      <t xml:space="preserve"> pertencentes a cada uma, para que o projeto siga as boas práticas definidas para o desenvolvimento do código.</t>
    </r>
  </si>
  <si>
    <t>Como gestor do projeto, quero que o sistema gere uma pontuação global da qualidade do projeto, para que eu tenha uma visão genérica e rápida do estado em que se encontra o código desenvolvido.</t>
  </si>
  <si>
    <t>Como gestor do projeto, quero aceder a relatórios detalhados por projeto e módulo, para que eu possa identificar rapidamente as áreas com maior número de problemas e agir de forma a adequar métodos e estratégias de desenvolvimento.</t>
  </si>
  <si>
    <t>Como gestor do projeto ou/e programador, quero comparar as diversas versões do código produzido, para que possa ver a evolução da qualidade do mesmo ao longo do tempo.</t>
  </si>
  <si>
    <r>
      <t xml:space="preserve">Como gestor do projeto, quero ter a capacidade exportar relatórios em diferentes tipos (PDF, CSV ou JSON), para que possa partilhar os resultados com outras equipas ou </t>
    </r>
    <r>
      <rPr>
        <i/>
        <sz val="12"/>
        <color theme="1"/>
        <rFont val="Aptos"/>
        <family val="2"/>
      </rPr>
      <t>stakeholders</t>
    </r>
    <r>
      <rPr>
        <sz val="12"/>
        <color theme="1"/>
        <rFont val="Aptos"/>
        <family val="2"/>
      </rPr>
      <t xml:space="preserve"> e até localizar aspetos a melhorar.</t>
    </r>
  </si>
  <si>
    <r>
      <t xml:space="preserve">Como administrador, quero ter a capacidade de visualizar </t>
    </r>
    <r>
      <rPr>
        <i/>
        <sz val="12"/>
        <color theme="1"/>
        <rFont val="Aptos"/>
        <family val="2"/>
      </rPr>
      <t>dashboards</t>
    </r>
    <r>
      <rPr>
        <sz val="12"/>
        <color theme="1"/>
        <rFont val="Aptos"/>
        <family val="2"/>
      </rPr>
      <t xml:space="preserve"> interativos compostos com gráficos e outras métricas de evolução, para que possa analisar tendências e pontos críticos de forma intuitiva.</t>
    </r>
  </si>
  <si>
    <t>BURNDOWN CHART 2º SPRINT</t>
  </si>
  <si>
    <t>BURNDOWN CHART 3º SPRINT</t>
  </si>
  <si>
    <t>BURNDOWN CHART 4º SPRINT</t>
  </si>
  <si>
    <t>BURNDOWN CHART 5º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</si>
</sst>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3"/>
      <name val="Aptos Narrow"/>
      <scheme val="minor"/>
    </font>
    <font>
      <sz val="28"/>
      <color theme="1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2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sz val="12"/>
      <color rgb="FF000000"/>
      <name val="Arial"/>
      <family val="2"/>
    </font>
    <font>
      <sz val="10"/>
      <color indexed="8"/>
      <name val="Arial"/>
      <family val="2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8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9"/>
      <color rgb="FF000000"/>
      <name val="Tahoma"/>
      <family val="2"/>
      <charset val="1"/>
    </font>
    <font>
      <sz val="12"/>
      <color theme="1"/>
      <name val="Aptos"/>
      <family val="2"/>
    </font>
    <font>
      <i/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70C0"/>
        <bgColor rgb="FF0563C1"/>
      </patternFill>
    </fill>
    <fill>
      <patternFill patternType="solid">
        <fgColor rgb="FFD9D9D9"/>
        <bgColor rgb="FFC0C0C0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1" applyNumberFormat="0" applyFill="0" applyAlignment="0" applyProtection="0"/>
    <xf numFmtId="0" fontId="11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4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5" xfId="0" applyFill="1" applyBorder="1" applyAlignment="1">
      <alignment vertical="top"/>
    </xf>
    <xf numFmtId="0" fontId="1" fillId="3" borderId="7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2" borderId="6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4" borderId="23" xfId="0" applyFill="1" applyBorder="1"/>
    <xf numFmtId="0" fontId="0" fillId="0" borderId="24" xfId="0" applyBorder="1"/>
    <xf numFmtId="0" fontId="8" fillId="0" borderId="0" xfId="0" applyFont="1"/>
    <xf numFmtId="0" fontId="0" fillId="4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2" borderId="25" xfId="0" applyFont="1" applyFill="1" applyBorder="1"/>
    <xf numFmtId="0" fontId="0" fillId="0" borderId="25" xfId="0" applyBorder="1"/>
    <xf numFmtId="0" fontId="2" fillId="2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9" fillId="0" borderId="25" xfId="0" applyFont="1" applyBorder="1" applyAlignment="1">
      <alignment wrapText="1"/>
    </xf>
    <xf numFmtId="0" fontId="9" fillId="0" borderId="25" xfId="0" applyFont="1" applyBorder="1" applyAlignment="1">
      <alignment horizontal="center" vertical="center" wrapText="1"/>
    </xf>
    <xf numFmtId="0" fontId="9" fillId="5" borderId="25" xfId="0" applyFont="1" applyFill="1" applyBorder="1" applyAlignment="1">
      <alignment wrapText="1"/>
    </xf>
    <xf numFmtId="0" fontId="9" fillId="5" borderId="25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" fillId="0" borderId="26" xfId="0" applyFont="1" applyBorder="1" applyAlignment="1">
      <alignment wrapText="1"/>
    </xf>
    <xf numFmtId="0" fontId="0" fillId="0" borderId="27" xfId="0" applyBorder="1"/>
    <xf numFmtId="0" fontId="9" fillId="0" borderId="26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2" borderId="28" xfId="0" applyFill="1" applyBorder="1"/>
    <xf numFmtId="0" fontId="0" fillId="2" borderId="12" xfId="0" applyFill="1" applyBorder="1"/>
    <xf numFmtId="0" fontId="0" fillId="2" borderId="29" xfId="0" applyFill="1" applyBorder="1"/>
    <xf numFmtId="0" fontId="12" fillId="0" borderId="0" xfId="2" applyFont="1"/>
    <xf numFmtId="0" fontId="11" fillId="0" borderId="0" xfId="2"/>
    <xf numFmtId="0" fontId="13" fillId="6" borderId="0" xfId="2" applyFont="1" applyFill="1" applyAlignment="1">
      <alignment horizontal="center" vertical="center"/>
    </xf>
    <xf numFmtId="0" fontId="11" fillId="0" borderId="21" xfId="2" applyBorder="1" applyAlignment="1">
      <alignment horizontal="center" vertical="center"/>
    </xf>
    <xf numFmtId="0" fontId="11" fillId="7" borderId="21" xfId="2" applyFill="1" applyBorder="1" applyAlignment="1">
      <alignment horizontal="center" vertical="center"/>
    </xf>
    <xf numFmtId="0" fontId="15" fillId="0" borderId="17" xfId="0" applyFont="1" applyBorder="1" applyAlignment="1">
      <alignment horizontal="left" vertical="center" wrapText="1"/>
    </xf>
    <xf numFmtId="0" fontId="15" fillId="0" borderId="21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2" fillId="6" borderId="0" xfId="2" applyFont="1" applyFill="1" applyAlignment="1">
      <alignment horizontal="center"/>
    </xf>
  </cellXfs>
  <cellStyles count="3">
    <cellStyle name="Cabeçalho 1 2" xfId="1" xr:uid="{22A1AFC1-1147-4461-9DD1-CC7B48504495}"/>
    <cellStyle name="Normal" xfId="0" builtinId="0"/>
    <cellStyle name="Normal 2" xfId="2" xr:uid="{EEC9C09B-E6E4-4B91-A270-87C046EE7CAA}"/>
  </cellStyles>
  <dxfs count="12">
    <dxf>
      <fill>
        <patternFill>
          <bgColor rgb="FFFFF551"/>
        </patternFill>
      </fill>
    </dxf>
    <dxf>
      <fill>
        <patternFill>
          <bgColor rgb="FFE39191"/>
        </patternFill>
      </fill>
    </dxf>
    <dxf>
      <fill>
        <patternFill>
          <bgColor rgb="FF9BDFFF"/>
        </patternFill>
      </fill>
    </dxf>
    <dxf>
      <fill>
        <patternFill>
          <bgColor rgb="FF9CE78C"/>
        </patternFill>
      </fill>
    </dxf>
    <dxf>
      <fill>
        <patternFill>
          <bgColor rgb="FFFFF551"/>
        </patternFill>
      </fill>
    </dxf>
    <dxf>
      <fill>
        <patternFill>
          <bgColor rgb="FFE39191"/>
        </patternFill>
      </fill>
    </dxf>
    <dxf>
      <fill>
        <patternFill>
          <bgColor rgb="FF9BDFFF"/>
        </patternFill>
      </fill>
    </dxf>
    <dxf>
      <fill>
        <patternFill>
          <bgColor rgb="FF9CE78C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 1ºSprint'!$F$8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'BURNDOWN CHART 1ºSprint'!$C$9:$C$15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'BURNDOWN CHART 1ºSprint'!$F$9:$F$15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0-4C63-A0CD-5447C7F6DDB8}"/>
            </c:ext>
          </c:extLst>
        </c:ser>
        <c:ser>
          <c:idx val="1"/>
          <c:order val="1"/>
          <c:tx>
            <c:strRef>
              <c:f>'BURNDOWN CHART 1ºSprint'!$G$8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'BURNDOWN CHART 1ºSprint'!$C$9:$C$15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'BURNDOWN CHART 1ºSprint'!$G$9:$G$15</c:f>
              <c:numCache>
                <c:formatCode>General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30-4C63-A0CD-5447C7F6D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373560"/>
        <c:axId val="229263271"/>
      </c:lineChart>
      <c:catAx>
        <c:axId val="420373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9263271"/>
        <c:crosses val="autoZero"/>
        <c:auto val="1"/>
        <c:lblAlgn val="ctr"/>
        <c:lblOffset val="100"/>
        <c:noMultiLvlLbl val="0"/>
      </c:catAx>
      <c:valAx>
        <c:axId val="229263271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20373560"/>
        <c:crosses val="autoZero"/>
        <c:crossBetween val="between"/>
        <c:majorUnit val="10"/>
        <c:minorUnit val="2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 2ºSprint '!$F$8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'BURNDOWN CHART 2ºSprint '!$C$9:$C$15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'BURNDOWN CHART 2ºSprint '!$F$9:$F$15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5-4C25-B6B9-C39F11911166}"/>
            </c:ext>
          </c:extLst>
        </c:ser>
        <c:ser>
          <c:idx val="1"/>
          <c:order val="1"/>
          <c:tx>
            <c:strRef>
              <c:f>'BURNDOWN CHART 2ºSprint '!$G$8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'BURNDOWN CHART 2ºSprint '!$C$9:$C$15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'BURNDOWN CHART 2ºSprint '!$G$9:$G$15</c:f>
              <c:numCache>
                <c:formatCode>General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5-4C25-B6B9-C39F11911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373560"/>
        <c:axId val="229263271"/>
      </c:lineChart>
      <c:catAx>
        <c:axId val="420373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9263271"/>
        <c:crosses val="autoZero"/>
        <c:auto val="1"/>
        <c:lblAlgn val="ctr"/>
        <c:lblOffset val="100"/>
        <c:noMultiLvlLbl val="0"/>
      </c:catAx>
      <c:valAx>
        <c:axId val="229263271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20373560"/>
        <c:crosses val="autoZero"/>
        <c:crossBetween val="between"/>
        <c:majorUnit val="10"/>
        <c:minorUnit val="2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 3ºSprint '!$F$8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'BURNDOWN CHART 3ºSprint '!$C$9:$C$15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'BURNDOWN CHART 3ºSprint '!$F$9:$F$15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6-4682-AC36-46A2228C38F9}"/>
            </c:ext>
          </c:extLst>
        </c:ser>
        <c:ser>
          <c:idx val="1"/>
          <c:order val="1"/>
          <c:tx>
            <c:strRef>
              <c:f>'BURNDOWN CHART 3ºSprint '!$G$8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'BURNDOWN CHART 3ºSprint '!$C$9:$C$15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'BURNDOWN CHART 3ºSprint '!$G$9:$G$15</c:f>
              <c:numCache>
                <c:formatCode>General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E6-4682-AC36-46A2228C3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373560"/>
        <c:axId val="229263271"/>
      </c:lineChart>
      <c:catAx>
        <c:axId val="420373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9263271"/>
        <c:crosses val="autoZero"/>
        <c:auto val="1"/>
        <c:lblAlgn val="ctr"/>
        <c:lblOffset val="100"/>
        <c:noMultiLvlLbl val="0"/>
      </c:catAx>
      <c:valAx>
        <c:axId val="229263271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20373560"/>
        <c:crosses val="autoZero"/>
        <c:crossBetween val="between"/>
        <c:majorUnit val="10"/>
        <c:minorUnit val="2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 4ºSprint'!$F$8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'BURNDOWN CHART 4ºSprint'!$C$9:$C$15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'BURNDOWN CHART 4ºSprint'!$F$9:$F$15</c:f>
              <c:numCache>
                <c:formatCode>General</c:formatCode>
                <c:ptCount val="7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2-4BA1-8B58-26259BBB6A90}"/>
            </c:ext>
          </c:extLst>
        </c:ser>
        <c:ser>
          <c:idx val="1"/>
          <c:order val="1"/>
          <c:tx>
            <c:strRef>
              <c:f>'BURNDOWN CHART 4ºSprint'!$G$8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'BURNDOWN CHART 4ºSprint'!$C$9:$C$15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'BURNDOWN CHART 4ºSprint'!$G$9:$G$15</c:f>
              <c:numCache>
                <c:formatCode>General</c:formatCode>
                <c:ptCount val="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D2-4BA1-8B58-26259BBB6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373560"/>
        <c:axId val="229263271"/>
      </c:lineChart>
      <c:catAx>
        <c:axId val="420373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9263271"/>
        <c:crosses val="autoZero"/>
        <c:auto val="1"/>
        <c:lblAlgn val="ctr"/>
        <c:lblOffset val="100"/>
        <c:noMultiLvlLbl val="0"/>
      </c:catAx>
      <c:valAx>
        <c:axId val="229263271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20373560"/>
        <c:crosses val="autoZero"/>
        <c:crossBetween val="between"/>
        <c:majorUnit val="10"/>
        <c:minorUnit val="2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 5ºSprint'!$F$8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'BURNDOWN CHART 5ºSprint'!$C$9:$C$14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'BURNDOWN CHART 5ºSprint'!$F$9:$F$14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C-40D3-950C-B237F31CEDA4}"/>
            </c:ext>
          </c:extLst>
        </c:ser>
        <c:ser>
          <c:idx val="1"/>
          <c:order val="1"/>
          <c:tx>
            <c:strRef>
              <c:f>'BURNDOWN CHART 5ºSprint'!$G$8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'BURNDOWN CHART 5ºSprint'!$C$9:$C$14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'BURNDOWN CHART 5ºSprint'!$G$9:$G$14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C-40D3-950C-B237F31CE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373560"/>
        <c:axId val="229263271"/>
      </c:lineChart>
      <c:catAx>
        <c:axId val="420373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9263271"/>
        <c:crosses val="autoZero"/>
        <c:auto val="1"/>
        <c:lblAlgn val="ctr"/>
        <c:lblOffset val="100"/>
        <c:noMultiLvlLbl val="0"/>
      </c:catAx>
      <c:valAx>
        <c:axId val="229263271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20373560"/>
        <c:crosses val="autoZero"/>
        <c:crossBetween val="between"/>
        <c:majorUnit val="10"/>
        <c:minorUnit val="2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76320</xdr:colOff>
      <xdr:row>0</xdr:row>
      <xdr:rowOff>76320</xdr:rowOff>
    </xdr:from>
    <xdr:to>
      <xdr:col>9</xdr:col>
      <xdr:colOff>94950</xdr:colOff>
      <xdr:row>4</xdr:row>
      <xdr:rowOff>134910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8CCF15-CA40-4CD0-B7ED-83203A50E42B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58260" y="76320"/>
          <a:ext cx="6175590" cy="79011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129540</xdr:colOff>
      <xdr:row>6</xdr:row>
      <xdr:rowOff>173181</xdr:rowOff>
    </xdr:from>
    <xdr:to>
      <xdr:col>18</xdr:col>
      <xdr:colOff>0</xdr:colOff>
      <xdr:row>25</xdr:row>
      <xdr:rowOff>76200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017999E7-CCE9-4181-9BF0-14D1844D3C4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76320</xdr:colOff>
      <xdr:row>0</xdr:row>
      <xdr:rowOff>76320</xdr:rowOff>
    </xdr:from>
    <xdr:to>
      <xdr:col>9</xdr:col>
      <xdr:colOff>94950</xdr:colOff>
      <xdr:row>4</xdr:row>
      <xdr:rowOff>134910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7145B-0C8E-4BA7-8BEF-53E5D3736DE8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58260" y="76320"/>
          <a:ext cx="6175590" cy="79011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129540</xdr:colOff>
      <xdr:row>6</xdr:row>
      <xdr:rowOff>173181</xdr:rowOff>
    </xdr:from>
    <xdr:to>
      <xdr:col>18</xdr:col>
      <xdr:colOff>0</xdr:colOff>
      <xdr:row>25</xdr:row>
      <xdr:rowOff>76200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8CD9B090-0CD0-4A53-8077-332B6D0F993D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76320</xdr:colOff>
      <xdr:row>0</xdr:row>
      <xdr:rowOff>76320</xdr:rowOff>
    </xdr:from>
    <xdr:to>
      <xdr:col>9</xdr:col>
      <xdr:colOff>94950</xdr:colOff>
      <xdr:row>4</xdr:row>
      <xdr:rowOff>134910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102B41-84AB-4895-9BAC-EC68879BC124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58260" y="76320"/>
          <a:ext cx="6175590" cy="79011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129540</xdr:colOff>
      <xdr:row>6</xdr:row>
      <xdr:rowOff>173181</xdr:rowOff>
    </xdr:from>
    <xdr:to>
      <xdr:col>18</xdr:col>
      <xdr:colOff>0</xdr:colOff>
      <xdr:row>25</xdr:row>
      <xdr:rowOff>76200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A5794DB5-E133-493A-9F31-909F17D69A2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76320</xdr:colOff>
      <xdr:row>0</xdr:row>
      <xdr:rowOff>76320</xdr:rowOff>
    </xdr:from>
    <xdr:to>
      <xdr:col>9</xdr:col>
      <xdr:colOff>94950</xdr:colOff>
      <xdr:row>4</xdr:row>
      <xdr:rowOff>134910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B2581E-421C-472D-B4DC-3034BFAABEB7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58260" y="76320"/>
          <a:ext cx="6175590" cy="79011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129540</xdr:colOff>
      <xdr:row>6</xdr:row>
      <xdr:rowOff>173181</xdr:rowOff>
    </xdr:from>
    <xdr:to>
      <xdr:col>18</xdr:col>
      <xdr:colOff>0</xdr:colOff>
      <xdr:row>25</xdr:row>
      <xdr:rowOff>76200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22CC051E-8FC5-463A-9CD9-0905AD6CCCDE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76320</xdr:colOff>
      <xdr:row>0</xdr:row>
      <xdr:rowOff>76320</xdr:rowOff>
    </xdr:from>
    <xdr:to>
      <xdr:col>9</xdr:col>
      <xdr:colOff>94950</xdr:colOff>
      <xdr:row>4</xdr:row>
      <xdr:rowOff>134910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209175-5F4A-42F6-9832-F49DD4E259D5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58260" y="76320"/>
          <a:ext cx="6175590" cy="79011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7</xdr:col>
      <xdr:colOff>129540</xdr:colOff>
      <xdr:row>6</xdr:row>
      <xdr:rowOff>173181</xdr:rowOff>
    </xdr:from>
    <xdr:to>
      <xdr:col>18</xdr:col>
      <xdr:colOff>0</xdr:colOff>
      <xdr:row>25</xdr:row>
      <xdr:rowOff>76200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E11C7421-41A7-47D6-B9BA-9C7C9434EF29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C198-B1EE-4A77-B085-0848BA011185}">
  <sheetPr>
    <tabColor rgb="FFFF0000"/>
  </sheetPr>
  <dimension ref="B1:T15"/>
  <sheetViews>
    <sheetView zoomScale="85" zoomScaleNormal="85" workbookViewId="0">
      <selection activeCell="D6" sqref="D6"/>
    </sheetView>
  </sheetViews>
  <sheetFormatPr defaultRowHeight="15" x14ac:dyDescent="0.25"/>
  <cols>
    <col min="2" max="2" width="4.28515625" customWidth="1"/>
    <col min="3" max="3" width="26.5703125" customWidth="1"/>
    <col min="4" max="4" width="75.7109375" customWidth="1"/>
    <col min="5" max="5" width="11.85546875" customWidth="1"/>
    <col min="6" max="6" width="18.28515625" customWidth="1"/>
    <col min="7" max="7" width="16.85546875" bestFit="1" customWidth="1"/>
    <col min="8" max="8" width="4.28515625" customWidth="1"/>
    <col min="10" max="10" width="0" hidden="1" customWidth="1"/>
    <col min="11" max="11" width="10.7109375" hidden="1" customWidth="1"/>
    <col min="12" max="12" width="9.7109375" hidden="1" customWidth="1"/>
    <col min="13" max="13" width="13.28515625" hidden="1" customWidth="1"/>
    <col min="14" max="14" width="123.7109375" hidden="1" customWidth="1"/>
    <col min="17" max="17" width="11.5703125" bestFit="1" customWidth="1"/>
    <col min="18" max="18" width="9.7109375" bestFit="1" customWidth="1"/>
    <col min="19" max="19" width="13.28515625" bestFit="1" customWidth="1"/>
    <col min="20" max="20" width="128.7109375" bestFit="1" customWidth="1"/>
  </cols>
  <sheetData>
    <row r="1" spans="2:20" ht="15.75" thickBot="1" x14ac:dyDescent="0.3"/>
    <row r="2" spans="2:20" ht="36" x14ac:dyDescent="0.55000000000000004">
      <c r="B2" s="2"/>
      <c r="C2" s="3" t="s">
        <v>0</v>
      </c>
      <c r="D2" s="3"/>
      <c r="E2" s="3"/>
      <c r="F2" s="3"/>
      <c r="G2" s="3"/>
      <c r="H2" s="4"/>
    </row>
    <row r="3" spans="2:20" ht="15.75" thickBot="1" x14ac:dyDescent="0.3">
      <c r="B3" s="5"/>
      <c r="C3" s="6"/>
      <c r="D3" s="6"/>
      <c r="E3" s="6"/>
      <c r="F3" s="6"/>
      <c r="G3" s="6"/>
      <c r="H3" s="7"/>
    </row>
    <row r="4" spans="2:20" s="12" customFormat="1" ht="21" customHeight="1" x14ac:dyDescent="0.25">
      <c r="B4" s="8"/>
      <c r="C4" s="9" t="s">
        <v>1</v>
      </c>
      <c r="D4" s="10" t="s">
        <v>2</v>
      </c>
      <c r="E4" s="57" t="s">
        <v>3</v>
      </c>
      <c r="F4" s="58"/>
      <c r="G4" s="59"/>
      <c r="H4" s="11"/>
    </row>
    <row r="5" spans="2:20" s="12" customFormat="1" ht="42" customHeight="1" thickBot="1" x14ac:dyDescent="0.3">
      <c r="B5" s="8"/>
      <c r="C5" s="13"/>
      <c r="D5" s="14"/>
      <c r="E5" s="15" t="s">
        <v>4</v>
      </c>
      <c r="F5" s="16" t="s">
        <v>5</v>
      </c>
      <c r="G5" s="17" t="s">
        <v>6</v>
      </c>
      <c r="H5" s="11"/>
    </row>
    <row r="6" spans="2:20" ht="48" thickBot="1" x14ac:dyDescent="0.3">
      <c r="B6" s="5"/>
      <c r="C6" s="18" t="s">
        <v>7</v>
      </c>
      <c r="D6" s="54" t="s">
        <v>44</v>
      </c>
      <c r="E6" s="19" t="s">
        <v>12</v>
      </c>
      <c r="F6" s="20"/>
      <c r="G6" s="21"/>
      <c r="H6" s="7"/>
      <c r="K6" s="22" t="s">
        <v>4</v>
      </c>
      <c r="L6" s="22" t="s">
        <v>9</v>
      </c>
      <c r="M6" s="22" t="s">
        <v>10</v>
      </c>
      <c r="Q6" s="23" t="s">
        <v>4</v>
      </c>
      <c r="R6" s="23" t="s">
        <v>9</v>
      </c>
      <c r="S6" s="23" t="s">
        <v>10</v>
      </c>
    </row>
    <row r="7" spans="2:20" ht="48" thickBot="1" x14ac:dyDescent="0.3">
      <c r="B7" s="5"/>
      <c r="C7" s="24" t="s">
        <v>11</v>
      </c>
      <c r="D7" s="55" t="s">
        <v>45</v>
      </c>
      <c r="E7" s="19" t="s">
        <v>12</v>
      </c>
      <c r="F7" s="25"/>
      <c r="G7" s="26"/>
      <c r="H7" s="7"/>
      <c r="K7" s="27" t="s">
        <v>12</v>
      </c>
      <c r="L7" s="28" t="s">
        <v>13</v>
      </c>
      <c r="M7" s="28" t="s">
        <v>14</v>
      </c>
      <c r="N7" s="29" t="s">
        <v>15</v>
      </c>
      <c r="Q7" s="30" t="s">
        <v>12</v>
      </c>
      <c r="R7" s="31" t="s">
        <v>13</v>
      </c>
      <c r="S7" s="31" t="s">
        <v>14</v>
      </c>
      <c r="T7" s="29" t="s">
        <v>15</v>
      </c>
    </row>
    <row r="8" spans="2:20" ht="48" thickBot="1" x14ac:dyDescent="0.3">
      <c r="B8" s="5"/>
      <c r="C8" s="24" t="s">
        <v>16</v>
      </c>
      <c r="D8" s="55" t="s">
        <v>46</v>
      </c>
      <c r="E8" s="19" t="s">
        <v>12</v>
      </c>
      <c r="F8" s="25"/>
      <c r="G8" s="26"/>
      <c r="H8" s="7"/>
      <c r="K8" s="32" t="s">
        <v>17</v>
      </c>
      <c r="L8" s="33" t="s">
        <v>18</v>
      </c>
      <c r="M8" s="33" t="s">
        <v>19</v>
      </c>
      <c r="N8" s="29" t="s">
        <v>20</v>
      </c>
      <c r="Q8" s="34" t="s">
        <v>17</v>
      </c>
      <c r="R8" s="35" t="s">
        <v>18</v>
      </c>
      <c r="S8" s="35" t="s">
        <v>19</v>
      </c>
      <c r="T8" s="29" t="s">
        <v>20</v>
      </c>
    </row>
    <row r="9" spans="2:20" ht="48" thickBot="1" x14ac:dyDescent="0.3">
      <c r="B9" s="5"/>
      <c r="C9" s="24" t="s">
        <v>21</v>
      </c>
      <c r="D9" s="55" t="s">
        <v>47</v>
      </c>
      <c r="E9" s="19" t="s">
        <v>12</v>
      </c>
      <c r="F9" s="25"/>
      <c r="G9" s="26"/>
      <c r="H9" s="7"/>
      <c r="K9" s="36" t="s">
        <v>22</v>
      </c>
      <c r="L9" s="33" t="s">
        <v>23</v>
      </c>
      <c r="M9" s="33" t="s">
        <v>24</v>
      </c>
      <c r="N9" s="29" t="s">
        <v>25</v>
      </c>
      <c r="Q9" s="37" t="s">
        <v>22</v>
      </c>
      <c r="R9" s="35" t="s">
        <v>23</v>
      </c>
      <c r="S9" s="35" t="s">
        <v>24</v>
      </c>
      <c r="T9" s="29" t="s">
        <v>25</v>
      </c>
    </row>
    <row r="10" spans="2:20" ht="48" thickBot="1" x14ac:dyDescent="0.3">
      <c r="B10" s="5"/>
      <c r="C10" s="24" t="s">
        <v>26</v>
      </c>
      <c r="D10" s="55" t="s">
        <v>48</v>
      </c>
      <c r="E10" s="19" t="s">
        <v>12</v>
      </c>
      <c r="F10" s="25"/>
      <c r="G10" s="26"/>
      <c r="H10" s="7"/>
      <c r="K10" s="38" t="s">
        <v>27</v>
      </c>
      <c r="L10" s="33" t="s">
        <v>28</v>
      </c>
      <c r="M10" s="33" t="s">
        <v>29</v>
      </c>
      <c r="N10" s="29" t="s">
        <v>30</v>
      </c>
      <c r="Q10" s="39" t="s">
        <v>27</v>
      </c>
      <c r="R10" s="35" t="s">
        <v>28</v>
      </c>
      <c r="S10" s="35" t="s">
        <v>29</v>
      </c>
      <c r="T10" s="29" t="s">
        <v>30</v>
      </c>
    </row>
    <row r="11" spans="2:20" ht="63.75" thickBot="1" x14ac:dyDescent="0.3">
      <c r="B11" s="5"/>
      <c r="C11" s="24" t="s">
        <v>31</v>
      </c>
      <c r="D11" s="55" t="s">
        <v>49</v>
      </c>
      <c r="E11" s="19" t="s">
        <v>12</v>
      </c>
      <c r="F11" s="40"/>
      <c r="G11" s="41"/>
      <c r="H11" s="7"/>
      <c r="K11" s="42" t="s">
        <v>8</v>
      </c>
      <c r="L11" s="43" t="s">
        <v>32</v>
      </c>
      <c r="Q11" s="44" t="s">
        <v>8</v>
      </c>
      <c r="R11" s="45" t="s">
        <v>32</v>
      </c>
      <c r="S11" s="1"/>
    </row>
    <row r="12" spans="2:20" ht="48" thickBot="1" x14ac:dyDescent="0.3">
      <c r="B12" s="5"/>
      <c r="C12" s="24" t="s">
        <v>33</v>
      </c>
      <c r="D12" s="55" t="s">
        <v>50</v>
      </c>
      <c r="E12" s="19" t="s">
        <v>12</v>
      </c>
      <c r="F12" s="40"/>
      <c r="G12" s="41"/>
      <c r="H12" s="7"/>
    </row>
    <row r="13" spans="2:20" ht="63.75" thickBot="1" x14ac:dyDescent="0.3">
      <c r="B13" s="5"/>
      <c r="C13" s="24" t="s">
        <v>34</v>
      </c>
      <c r="D13" s="55" t="s">
        <v>51</v>
      </c>
      <c r="E13" s="19" t="s">
        <v>12</v>
      </c>
      <c r="F13" s="40"/>
      <c r="G13" s="41"/>
      <c r="H13" s="7"/>
    </row>
    <row r="14" spans="2:20" ht="47.25" x14ac:dyDescent="0.25">
      <c r="B14" s="5"/>
      <c r="C14" s="24" t="s">
        <v>35</v>
      </c>
      <c r="D14" s="56" t="s">
        <v>52</v>
      </c>
      <c r="E14" s="19" t="s">
        <v>12</v>
      </c>
      <c r="F14" s="40"/>
      <c r="G14" s="41"/>
      <c r="H14" s="7"/>
    </row>
    <row r="15" spans="2:20" ht="30" customHeight="1" thickBot="1" x14ac:dyDescent="0.3">
      <c r="B15" s="46"/>
      <c r="C15" s="47"/>
      <c r="D15" s="47"/>
      <c r="E15" s="47"/>
      <c r="F15" s="47"/>
      <c r="G15" s="47"/>
      <c r="H15" s="48"/>
    </row>
  </sheetData>
  <mergeCells count="1">
    <mergeCell ref="E4:G4"/>
  </mergeCells>
  <conditionalFormatting sqref="E6:E14">
    <cfRule type="cellIs" dxfId="11" priority="5" operator="equal">
      <formula>$K$10</formula>
    </cfRule>
    <cfRule type="cellIs" dxfId="10" priority="6" operator="equal">
      <formula>$K$9</formula>
    </cfRule>
    <cfRule type="cellIs" dxfId="9" priority="7" operator="equal">
      <formula>$K$8</formula>
    </cfRule>
    <cfRule type="cellIs" dxfId="8" priority="8" operator="equal">
      <formula>$K$11</formula>
    </cfRule>
  </conditionalFormatting>
  <conditionalFormatting sqref="K9:K11">
    <cfRule type="cellIs" dxfId="7" priority="9" operator="equal">
      <formula>"Passed"</formula>
    </cfRule>
    <cfRule type="cellIs" dxfId="6" priority="10" operator="equal">
      <formula>"In Progress"</formula>
    </cfRule>
    <cfRule type="cellIs" dxfId="5" priority="11" operator="equal">
      <formula>"Failed"</formula>
    </cfRule>
    <cfRule type="cellIs" dxfId="4" priority="12" operator="equal">
      <formula>"Blocked"</formula>
    </cfRule>
  </conditionalFormatting>
  <conditionalFormatting sqref="Q9:Q11">
    <cfRule type="cellIs" dxfId="3" priority="1" operator="equal">
      <formula>"Passed"</formula>
    </cfRule>
    <cfRule type="cellIs" dxfId="2" priority="2" operator="equal">
      <formula>"In Progress"</formula>
    </cfRule>
    <cfRule type="cellIs" dxfId="1" priority="3" operator="equal">
      <formula>"Failed"</formula>
    </cfRule>
    <cfRule type="cellIs" dxfId="0" priority="4" operator="equal">
      <formula>"Blocked"</formula>
    </cfRule>
  </conditionalFormatting>
  <dataValidations count="3">
    <dataValidation type="list" allowBlank="1" showErrorMessage="1" sqref="E6:E14" xr:uid="{2936272A-7099-438C-9F4F-B0B9AF9EBF24}">
      <formula1>$K$7:$K$11</formula1>
    </dataValidation>
    <dataValidation type="list" allowBlank="1" showInputMessage="1" showErrorMessage="1" sqref="F6:F14" xr:uid="{2DBEC509-4C73-4002-A00D-B2EC904DB801}">
      <formula1>$L$7:$L$11</formula1>
    </dataValidation>
    <dataValidation type="list" allowBlank="1" showInputMessage="1" showErrorMessage="1" sqref="G6:G14" xr:uid="{668AAAFF-57E1-406F-88D4-14B102E5C8ED}">
      <formula1>$M$7:$M$10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AECB-F8B7-4B06-AC7C-54A294647C38}">
  <sheetPr>
    <tabColor rgb="FF00B050"/>
  </sheetPr>
  <dimension ref="B6:V15"/>
  <sheetViews>
    <sheetView showGridLines="0" tabSelected="1" zoomScaleNormal="100" workbookViewId="0">
      <selection activeCell="E13" sqref="E13"/>
    </sheetView>
  </sheetViews>
  <sheetFormatPr defaultColWidth="8.7109375" defaultRowHeight="15" x14ac:dyDescent="0.25"/>
  <cols>
    <col min="1" max="1" width="4.140625" style="50" customWidth="1"/>
    <col min="2" max="2" width="15.28515625" style="50" customWidth="1"/>
    <col min="3" max="4" width="8.7109375" style="50"/>
    <col min="5" max="5" width="16" style="50" customWidth="1"/>
    <col min="6" max="6" width="12.85546875" style="50" customWidth="1"/>
    <col min="7" max="7" width="10.85546875" style="50" customWidth="1"/>
    <col min="8" max="16" width="8.7109375" style="50"/>
    <col min="17" max="17" width="9.28515625" style="50" customWidth="1"/>
    <col min="18" max="16384" width="8.7109375" style="50"/>
  </cols>
  <sheetData>
    <row r="6" spans="2:22" ht="23.25" x14ac:dyDescent="0.35">
      <c r="B6" s="60" t="s">
        <v>36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49"/>
      <c r="T6" s="49"/>
      <c r="U6" s="49"/>
      <c r="V6" s="49"/>
    </row>
    <row r="8" spans="2:22" x14ac:dyDescent="0.25">
      <c r="B8" s="51" t="s">
        <v>42</v>
      </c>
      <c r="C8" s="51" t="s">
        <v>37</v>
      </c>
      <c r="D8" s="51" t="s">
        <v>38</v>
      </c>
      <c r="E8" s="51" t="s">
        <v>39</v>
      </c>
      <c r="F8" s="51" t="s">
        <v>40</v>
      </c>
      <c r="G8" s="51" t="s">
        <v>41</v>
      </c>
    </row>
    <row r="9" spans="2:22" x14ac:dyDescent="0.25">
      <c r="B9" s="52">
        <v>6</v>
      </c>
      <c r="C9" s="52">
        <f>1</f>
        <v>1</v>
      </c>
      <c r="D9" s="52">
        <v>2</v>
      </c>
      <c r="E9" s="52">
        <v>0</v>
      </c>
      <c r="F9" s="53">
        <v>12</v>
      </c>
      <c r="G9" s="53">
        <v>12</v>
      </c>
    </row>
    <row r="10" spans="2:22" x14ac:dyDescent="0.25">
      <c r="B10" s="52">
        <v>7</v>
      </c>
      <c r="C10" s="52">
        <v>2</v>
      </c>
      <c r="D10" s="52">
        <v>2</v>
      </c>
      <c r="E10" s="52">
        <v>0</v>
      </c>
      <c r="F10" s="53">
        <f>F9-D10</f>
        <v>10</v>
      </c>
      <c r="G10" s="53">
        <f>G9-E10</f>
        <v>12</v>
      </c>
    </row>
    <row r="11" spans="2:22" x14ac:dyDescent="0.25">
      <c r="B11" s="52">
        <v>8</v>
      </c>
      <c r="C11" s="52">
        <v>3</v>
      </c>
      <c r="D11" s="52">
        <v>2</v>
      </c>
      <c r="E11" s="52">
        <v>0</v>
      </c>
      <c r="F11" s="53">
        <f t="shared" ref="F11:G15" si="0">F10-D11</f>
        <v>8</v>
      </c>
      <c r="G11" s="53">
        <f t="shared" si="0"/>
        <v>12</v>
      </c>
    </row>
    <row r="12" spans="2:22" x14ac:dyDescent="0.25">
      <c r="B12" s="52">
        <v>9</v>
      </c>
      <c r="C12" s="52">
        <v>4</v>
      </c>
      <c r="D12" s="52">
        <v>2</v>
      </c>
      <c r="E12" s="52">
        <v>0</v>
      </c>
      <c r="F12" s="53">
        <f t="shared" si="0"/>
        <v>6</v>
      </c>
      <c r="G12" s="53">
        <f t="shared" si="0"/>
        <v>12</v>
      </c>
    </row>
    <row r="13" spans="2:22" x14ac:dyDescent="0.25">
      <c r="B13" s="52">
        <v>10</v>
      </c>
      <c r="C13" s="52">
        <v>5</v>
      </c>
      <c r="D13" s="52">
        <v>2</v>
      </c>
      <c r="E13" s="52">
        <v>0</v>
      </c>
      <c r="F13" s="53">
        <f t="shared" si="0"/>
        <v>4</v>
      </c>
      <c r="G13" s="53">
        <f t="shared" si="0"/>
        <v>12</v>
      </c>
    </row>
    <row r="14" spans="2:22" x14ac:dyDescent="0.25">
      <c r="B14" s="52">
        <v>11</v>
      </c>
      <c r="C14" s="52">
        <v>6</v>
      </c>
      <c r="D14" s="52">
        <v>2</v>
      </c>
      <c r="E14" s="52">
        <v>0</v>
      </c>
      <c r="F14" s="53">
        <f t="shared" si="0"/>
        <v>2</v>
      </c>
      <c r="G14" s="53">
        <f t="shared" si="0"/>
        <v>12</v>
      </c>
    </row>
    <row r="15" spans="2:22" x14ac:dyDescent="0.25">
      <c r="B15" s="52">
        <v>12</v>
      </c>
      <c r="C15" s="52">
        <v>7</v>
      </c>
      <c r="D15" s="52">
        <v>2</v>
      </c>
      <c r="E15" s="52">
        <v>0</v>
      </c>
      <c r="F15" s="53">
        <f t="shared" si="0"/>
        <v>0</v>
      </c>
      <c r="G15" s="53">
        <f t="shared" si="0"/>
        <v>12</v>
      </c>
    </row>
  </sheetData>
  <mergeCells count="1">
    <mergeCell ref="B6:R6"/>
  </mergeCells>
  <pageMargins left="0.59055118110236227" right="0.98425196850393704" top="1.7716535433070868" bottom="0.98425196850393704" header="0.51181102362204722" footer="0.51181102362204722"/>
  <pageSetup paperSize="8" firstPageNumber="0" orientation="landscape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EE2E-429A-4384-AA2E-AD3649DF5000}">
  <sheetPr>
    <tabColor rgb="FF00B050"/>
  </sheetPr>
  <dimension ref="B6:V15"/>
  <sheetViews>
    <sheetView showGridLines="0" zoomScaleNormal="100" workbookViewId="0">
      <selection activeCell="B7" sqref="B7"/>
    </sheetView>
  </sheetViews>
  <sheetFormatPr defaultColWidth="8.7109375" defaultRowHeight="15" x14ac:dyDescent="0.25"/>
  <cols>
    <col min="1" max="1" width="4.140625" style="50" customWidth="1"/>
    <col min="2" max="2" width="15.28515625" style="50" customWidth="1"/>
    <col min="3" max="4" width="8.7109375" style="50"/>
    <col min="5" max="5" width="16" style="50" customWidth="1"/>
    <col min="6" max="6" width="12.85546875" style="50" customWidth="1"/>
    <col min="7" max="7" width="10.85546875" style="50" customWidth="1"/>
    <col min="8" max="16" width="8.7109375" style="50"/>
    <col min="17" max="17" width="9.28515625" style="50" customWidth="1"/>
    <col min="18" max="16384" width="8.7109375" style="50"/>
  </cols>
  <sheetData>
    <row r="6" spans="2:22" ht="23.25" x14ac:dyDescent="0.35">
      <c r="B6" s="60" t="s">
        <v>53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49"/>
      <c r="T6" s="49"/>
      <c r="U6" s="49"/>
      <c r="V6" s="49"/>
    </row>
    <row r="8" spans="2:22" x14ac:dyDescent="0.25">
      <c r="B8" s="51" t="s">
        <v>42</v>
      </c>
      <c r="C8" s="51" t="s">
        <v>37</v>
      </c>
      <c r="D8" s="51" t="s">
        <v>38</v>
      </c>
      <c r="E8" s="51" t="s">
        <v>39</v>
      </c>
      <c r="F8" s="51" t="s">
        <v>40</v>
      </c>
      <c r="G8" s="51" t="s">
        <v>41</v>
      </c>
    </row>
    <row r="9" spans="2:22" x14ac:dyDescent="0.25">
      <c r="B9" s="52">
        <v>13</v>
      </c>
      <c r="C9" s="52">
        <f>1</f>
        <v>1</v>
      </c>
      <c r="D9" s="52">
        <v>2</v>
      </c>
      <c r="E9" s="52">
        <v>0</v>
      </c>
      <c r="F9" s="53">
        <v>12</v>
      </c>
      <c r="G9" s="53">
        <v>12</v>
      </c>
    </row>
    <row r="10" spans="2:22" x14ac:dyDescent="0.25">
      <c r="B10" s="52">
        <v>14</v>
      </c>
      <c r="C10" s="52">
        <v>2</v>
      </c>
      <c r="D10" s="52">
        <v>2</v>
      </c>
      <c r="E10" s="52">
        <v>0</v>
      </c>
      <c r="F10" s="53">
        <f>F9-D10</f>
        <v>10</v>
      </c>
      <c r="G10" s="53">
        <f>G9-E10</f>
        <v>12</v>
      </c>
    </row>
    <row r="11" spans="2:22" x14ac:dyDescent="0.25">
      <c r="B11" s="52">
        <v>15</v>
      </c>
      <c r="C11" s="52">
        <v>3</v>
      </c>
      <c r="D11" s="52">
        <v>2</v>
      </c>
      <c r="E11" s="52">
        <v>0</v>
      </c>
      <c r="F11" s="53">
        <f t="shared" ref="F11:G15" si="0">F10-D11</f>
        <v>8</v>
      </c>
      <c r="G11" s="53">
        <f t="shared" si="0"/>
        <v>12</v>
      </c>
    </row>
    <row r="12" spans="2:22" x14ac:dyDescent="0.25">
      <c r="B12" s="52">
        <v>16</v>
      </c>
      <c r="C12" s="52">
        <v>4</v>
      </c>
      <c r="D12" s="52">
        <v>2</v>
      </c>
      <c r="E12" s="52">
        <v>0</v>
      </c>
      <c r="F12" s="53">
        <f t="shared" si="0"/>
        <v>6</v>
      </c>
      <c r="G12" s="53">
        <f t="shared" si="0"/>
        <v>12</v>
      </c>
    </row>
    <row r="13" spans="2:22" x14ac:dyDescent="0.25">
      <c r="B13" s="52">
        <v>17</v>
      </c>
      <c r="C13" s="52">
        <v>5</v>
      </c>
      <c r="D13" s="52">
        <v>2</v>
      </c>
      <c r="E13" s="52">
        <v>0</v>
      </c>
      <c r="F13" s="53">
        <f t="shared" si="0"/>
        <v>4</v>
      </c>
      <c r="G13" s="53">
        <f t="shared" si="0"/>
        <v>12</v>
      </c>
    </row>
    <row r="14" spans="2:22" x14ac:dyDescent="0.25">
      <c r="B14" s="52">
        <v>18</v>
      </c>
      <c r="C14" s="52">
        <v>6</v>
      </c>
      <c r="D14" s="52">
        <v>2</v>
      </c>
      <c r="E14" s="52">
        <v>0</v>
      </c>
      <c r="F14" s="53">
        <f t="shared" si="0"/>
        <v>2</v>
      </c>
      <c r="G14" s="53">
        <f t="shared" si="0"/>
        <v>12</v>
      </c>
    </row>
    <row r="15" spans="2:22" x14ac:dyDescent="0.25">
      <c r="B15" s="52">
        <v>19</v>
      </c>
      <c r="C15" s="52">
        <v>7</v>
      </c>
      <c r="D15" s="52">
        <v>2</v>
      </c>
      <c r="E15" s="52">
        <v>0</v>
      </c>
      <c r="F15" s="53">
        <f t="shared" si="0"/>
        <v>0</v>
      </c>
      <c r="G15" s="53">
        <f t="shared" si="0"/>
        <v>12</v>
      </c>
    </row>
  </sheetData>
  <mergeCells count="1">
    <mergeCell ref="B6:R6"/>
  </mergeCells>
  <pageMargins left="0.59055118110236227" right="0.98425196850393704" top="1.7716535433070868" bottom="0.98425196850393704" header="0.51181102362204722" footer="0.51181102362204722"/>
  <pageSetup paperSize="8" firstPageNumber="0"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675F-30BC-4357-8001-5C141349E35A}">
  <sheetPr>
    <tabColor rgb="FF00B050"/>
  </sheetPr>
  <dimension ref="B6:V15"/>
  <sheetViews>
    <sheetView showGridLines="0" zoomScaleNormal="100" workbookViewId="0">
      <selection activeCell="B6" sqref="B6:R6"/>
    </sheetView>
  </sheetViews>
  <sheetFormatPr defaultColWidth="8.7109375" defaultRowHeight="15" x14ac:dyDescent="0.25"/>
  <cols>
    <col min="1" max="1" width="4.140625" style="50" customWidth="1"/>
    <col min="2" max="2" width="15.28515625" style="50" customWidth="1"/>
    <col min="3" max="4" width="8.7109375" style="50"/>
    <col min="5" max="5" width="16" style="50" customWidth="1"/>
    <col min="6" max="6" width="12.85546875" style="50" customWidth="1"/>
    <col min="7" max="7" width="10.85546875" style="50" customWidth="1"/>
    <col min="8" max="16" width="8.7109375" style="50"/>
    <col min="17" max="17" width="9.28515625" style="50" customWidth="1"/>
    <col min="18" max="16384" width="8.7109375" style="50"/>
  </cols>
  <sheetData>
    <row r="6" spans="2:22" ht="23.25" x14ac:dyDescent="0.35">
      <c r="B6" s="60" t="s">
        <v>54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49"/>
      <c r="T6" s="49"/>
      <c r="U6" s="49"/>
      <c r="V6" s="49"/>
    </row>
    <row r="8" spans="2:22" x14ac:dyDescent="0.25">
      <c r="B8" s="51" t="s">
        <v>42</v>
      </c>
      <c r="C8" s="51" t="s">
        <v>37</v>
      </c>
      <c r="D8" s="51" t="s">
        <v>38</v>
      </c>
      <c r="E8" s="51" t="s">
        <v>39</v>
      </c>
      <c r="F8" s="51" t="s">
        <v>40</v>
      </c>
      <c r="G8" s="51" t="s">
        <v>41</v>
      </c>
    </row>
    <row r="9" spans="2:22" x14ac:dyDescent="0.25">
      <c r="B9" s="52">
        <v>20</v>
      </c>
      <c r="C9" s="52">
        <f>1</f>
        <v>1</v>
      </c>
      <c r="D9" s="52">
        <v>2</v>
      </c>
      <c r="E9" s="52">
        <v>0</v>
      </c>
      <c r="F9" s="53">
        <v>12</v>
      </c>
      <c r="G9" s="53">
        <v>12</v>
      </c>
    </row>
    <row r="10" spans="2:22" x14ac:dyDescent="0.25">
      <c r="B10" s="52">
        <v>21</v>
      </c>
      <c r="C10" s="52">
        <v>2</v>
      </c>
      <c r="D10" s="52">
        <v>2</v>
      </c>
      <c r="E10" s="52">
        <v>0</v>
      </c>
      <c r="F10" s="53">
        <f>F9-D10</f>
        <v>10</v>
      </c>
      <c r="G10" s="53">
        <f>G9-E10</f>
        <v>12</v>
      </c>
    </row>
    <row r="11" spans="2:22" x14ac:dyDescent="0.25">
      <c r="B11" s="52">
        <v>22</v>
      </c>
      <c r="C11" s="52">
        <v>3</v>
      </c>
      <c r="D11" s="52">
        <v>2</v>
      </c>
      <c r="E11" s="52">
        <v>0</v>
      </c>
      <c r="F11" s="53">
        <f t="shared" ref="F11:G15" si="0">F10-D11</f>
        <v>8</v>
      </c>
      <c r="G11" s="53">
        <f t="shared" si="0"/>
        <v>12</v>
      </c>
    </row>
    <row r="12" spans="2:22" x14ac:dyDescent="0.25">
      <c r="B12" s="52">
        <v>23</v>
      </c>
      <c r="C12" s="52">
        <v>4</v>
      </c>
      <c r="D12" s="52">
        <v>2</v>
      </c>
      <c r="E12" s="52">
        <v>0</v>
      </c>
      <c r="F12" s="53">
        <f t="shared" si="0"/>
        <v>6</v>
      </c>
      <c r="G12" s="53">
        <f t="shared" si="0"/>
        <v>12</v>
      </c>
    </row>
    <row r="13" spans="2:22" x14ac:dyDescent="0.25">
      <c r="B13" s="52">
        <v>24</v>
      </c>
      <c r="C13" s="52">
        <v>5</v>
      </c>
      <c r="D13" s="52">
        <v>2</v>
      </c>
      <c r="E13" s="52">
        <v>0</v>
      </c>
      <c r="F13" s="53">
        <f t="shared" si="0"/>
        <v>4</v>
      </c>
      <c r="G13" s="53">
        <f t="shared" si="0"/>
        <v>12</v>
      </c>
    </row>
    <row r="14" spans="2:22" x14ac:dyDescent="0.25">
      <c r="B14" s="52">
        <v>25</v>
      </c>
      <c r="C14" s="52">
        <v>6</v>
      </c>
      <c r="D14" s="52">
        <v>2</v>
      </c>
      <c r="E14" s="52">
        <v>0</v>
      </c>
      <c r="F14" s="53">
        <f t="shared" si="0"/>
        <v>2</v>
      </c>
      <c r="G14" s="53">
        <f t="shared" si="0"/>
        <v>12</v>
      </c>
    </row>
    <row r="15" spans="2:22" x14ac:dyDescent="0.25">
      <c r="B15" s="52">
        <v>26</v>
      </c>
      <c r="C15" s="52">
        <v>7</v>
      </c>
      <c r="D15" s="52">
        <v>2</v>
      </c>
      <c r="E15" s="52">
        <v>0</v>
      </c>
      <c r="F15" s="53">
        <f t="shared" si="0"/>
        <v>0</v>
      </c>
      <c r="G15" s="53">
        <f t="shared" si="0"/>
        <v>12</v>
      </c>
    </row>
  </sheetData>
  <mergeCells count="1">
    <mergeCell ref="B6:R6"/>
  </mergeCells>
  <pageMargins left="0.59055118110236227" right="0.98425196850393704" top="1.7716535433070868" bottom="0.98425196850393704" header="0.51181102362204722" footer="0.51181102362204722"/>
  <pageSetup paperSize="8" firstPageNumber="0" orientation="landscape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9664-C336-4947-B9C9-D8C10C697E8C}">
  <sheetPr>
    <tabColor rgb="FF00B050"/>
  </sheetPr>
  <dimension ref="B6:V15"/>
  <sheetViews>
    <sheetView showGridLines="0" zoomScaleNormal="100" workbookViewId="0">
      <selection activeCell="B6" sqref="B6:R6"/>
    </sheetView>
  </sheetViews>
  <sheetFormatPr defaultColWidth="8.7109375" defaultRowHeight="15" x14ac:dyDescent="0.25"/>
  <cols>
    <col min="1" max="1" width="4.140625" style="50" customWidth="1"/>
    <col min="2" max="2" width="15.28515625" style="50" customWidth="1"/>
    <col min="3" max="4" width="8.7109375" style="50"/>
    <col min="5" max="5" width="16" style="50" customWidth="1"/>
    <col min="6" max="6" width="12.85546875" style="50" customWidth="1"/>
    <col min="7" max="7" width="10.85546875" style="50" customWidth="1"/>
    <col min="8" max="16" width="8.7109375" style="50"/>
    <col min="17" max="17" width="9.28515625" style="50" customWidth="1"/>
    <col min="18" max="16384" width="8.7109375" style="50"/>
  </cols>
  <sheetData>
    <row r="6" spans="2:22" ht="23.25" x14ac:dyDescent="0.35">
      <c r="B6" s="60" t="s">
        <v>55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49"/>
      <c r="T6" s="49"/>
      <c r="U6" s="49"/>
      <c r="V6" s="49"/>
    </row>
    <row r="8" spans="2:22" x14ac:dyDescent="0.25">
      <c r="B8" s="51" t="s">
        <v>42</v>
      </c>
      <c r="C8" s="51" t="s">
        <v>37</v>
      </c>
      <c r="D8" s="51" t="s">
        <v>38</v>
      </c>
      <c r="E8" s="51" t="s">
        <v>39</v>
      </c>
      <c r="F8" s="51" t="s">
        <v>40</v>
      </c>
      <c r="G8" s="51" t="s">
        <v>41</v>
      </c>
    </row>
    <row r="9" spans="2:22" x14ac:dyDescent="0.25">
      <c r="B9" s="52">
        <v>27</v>
      </c>
      <c r="C9" s="52">
        <f>1</f>
        <v>1</v>
      </c>
      <c r="D9" s="52">
        <v>2</v>
      </c>
      <c r="E9" s="52">
        <v>0</v>
      </c>
      <c r="F9" s="53">
        <v>12</v>
      </c>
      <c r="G9" s="53">
        <v>12</v>
      </c>
    </row>
    <row r="10" spans="2:22" x14ac:dyDescent="0.25">
      <c r="B10" s="52">
        <v>28</v>
      </c>
      <c r="C10" s="52">
        <v>2</v>
      </c>
      <c r="D10" s="52">
        <v>2</v>
      </c>
      <c r="E10" s="52">
        <v>0</v>
      </c>
      <c r="F10" s="53">
        <f>F9-D10</f>
        <v>10</v>
      </c>
      <c r="G10" s="53">
        <f>G9-E10</f>
        <v>12</v>
      </c>
    </row>
    <row r="11" spans="2:22" x14ac:dyDescent="0.25">
      <c r="B11" s="52">
        <v>29</v>
      </c>
      <c r="C11" s="52">
        <v>3</v>
      </c>
      <c r="D11" s="52">
        <v>2</v>
      </c>
      <c r="E11" s="52">
        <v>0</v>
      </c>
      <c r="F11" s="53">
        <f t="shared" ref="F11:G15" si="0">F10-D11</f>
        <v>8</v>
      </c>
      <c r="G11" s="53">
        <f t="shared" si="0"/>
        <v>12</v>
      </c>
    </row>
    <row r="12" spans="2:22" x14ac:dyDescent="0.25">
      <c r="B12" s="52">
        <v>30</v>
      </c>
      <c r="C12" s="52">
        <v>4</v>
      </c>
      <c r="D12" s="52">
        <v>2</v>
      </c>
      <c r="E12" s="52">
        <v>0</v>
      </c>
      <c r="F12" s="53">
        <f t="shared" si="0"/>
        <v>6</v>
      </c>
      <c r="G12" s="53">
        <f t="shared" si="0"/>
        <v>12</v>
      </c>
    </row>
    <row r="13" spans="2:22" x14ac:dyDescent="0.25">
      <c r="B13" s="52">
        <v>1</v>
      </c>
      <c r="C13" s="52">
        <v>5</v>
      </c>
      <c r="D13" s="52">
        <v>2</v>
      </c>
      <c r="E13" s="52">
        <v>0</v>
      </c>
      <c r="F13" s="53">
        <f t="shared" si="0"/>
        <v>4</v>
      </c>
      <c r="G13" s="53">
        <f t="shared" si="0"/>
        <v>12</v>
      </c>
    </row>
    <row r="14" spans="2:22" x14ac:dyDescent="0.25">
      <c r="B14" s="52">
        <v>2</v>
      </c>
      <c r="C14" s="52">
        <v>6</v>
      </c>
      <c r="D14" s="52">
        <v>2</v>
      </c>
      <c r="E14" s="52">
        <v>0</v>
      </c>
      <c r="F14" s="53">
        <f t="shared" si="0"/>
        <v>2</v>
      </c>
      <c r="G14" s="53">
        <f t="shared" si="0"/>
        <v>12</v>
      </c>
    </row>
    <row r="15" spans="2:22" x14ac:dyDescent="0.25">
      <c r="B15" s="52">
        <v>3</v>
      </c>
      <c r="C15" s="52">
        <v>7</v>
      </c>
      <c r="D15" s="52">
        <v>2</v>
      </c>
      <c r="E15" s="52">
        <v>0</v>
      </c>
      <c r="F15" s="53">
        <f t="shared" si="0"/>
        <v>0</v>
      </c>
      <c r="G15" s="53">
        <f t="shared" si="0"/>
        <v>12</v>
      </c>
    </row>
  </sheetData>
  <mergeCells count="1">
    <mergeCell ref="B6:R6"/>
  </mergeCells>
  <pageMargins left="0.59055118110236227" right="0.98425196850393704" top="1.7716535433070868" bottom="0.98425196850393704" header="0.51181102362204722" footer="0.51181102362204722"/>
  <pageSetup paperSize="8" firstPageNumber="0" orientation="landscape" horizontalDpi="300" verticalDpi="3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E848-FC93-40D1-A977-941B987FA5D5}">
  <sheetPr>
    <tabColor rgb="FF00B050"/>
  </sheetPr>
  <dimension ref="B6:V14"/>
  <sheetViews>
    <sheetView showGridLines="0" zoomScaleNormal="100" workbookViewId="0">
      <selection activeCell="B7" sqref="B7"/>
    </sheetView>
  </sheetViews>
  <sheetFormatPr defaultColWidth="8.7109375" defaultRowHeight="15" x14ac:dyDescent="0.25"/>
  <cols>
    <col min="1" max="1" width="4.140625" style="50" customWidth="1"/>
    <col min="2" max="2" width="15.28515625" style="50" customWidth="1"/>
    <col min="3" max="4" width="8.7109375" style="50"/>
    <col min="5" max="5" width="16" style="50" customWidth="1"/>
    <col min="6" max="6" width="12.85546875" style="50" customWidth="1"/>
    <col min="7" max="7" width="10.85546875" style="50" customWidth="1"/>
    <col min="8" max="16" width="8.7109375" style="50"/>
    <col min="17" max="17" width="9.28515625" style="50" customWidth="1"/>
    <col min="18" max="16384" width="8.7109375" style="50"/>
  </cols>
  <sheetData>
    <row r="6" spans="2:22" ht="23.25" x14ac:dyDescent="0.35">
      <c r="B6" s="60" t="s">
        <v>56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49"/>
      <c r="T6" s="49"/>
      <c r="U6" s="49"/>
      <c r="V6" s="49"/>
    </row>
    <row r="8" spans="2:22" x14ac:dyDescent="0.25">
      <c r="B8" s="51" t="s">
        <v>43</v>
      </c>
      <c r="C8" s="51" t="s">
        <v>37</v>
      </c>
      <c r="D8" s="51" t="s">
        <v>38</v>
      </c>
      <c r="E8" s="51" t="s">
        <v>39</v>
      </c>
      <c r="F8" s="51" t="s">
        <v>40</v>
      </c>
      <c r="G8" s="51" t="s">
        <v>41</v>
      </c>
    </row>
    <row r="9" spans="2:22" x14ac:dyDescent="0.25">
      <c r="B9" s="52">
        <v>4</v>
      </c>
      <c r="C9" s="52">
        <f>1</f>
        <v>1</v>
      </c>
      <c r="D9" s="52">
        <v>2</v>
      </c>
      <c r="E9" s="52">
        <v>0</v>
      </c>
      <c r="F9" s="53">
        <v>10</v>
      </c>
      <c r="G9" s="53">
        <v>10</v>
      </c>
    </row>
    <row r="10" spans="2:22" x14ac:dyDescent="0.25">
      <c r="B10" s="52">
        <v>5</v>
      </c>
      <c r="C10" s="52">
        <v>2</v>
      </c>
      <c r="D10" s="52">
        <v>2</v>
      </c>
      <c r="E10" s="52">
        <v>0</v>
      </c>
      <c r="F10" s="53">
        <f>F9-D10</f>
        <v>8</v>
      </c>
      <c r="G10" s="53">
        <f>G9-E10</f>
        <v>10</v>
      </c>
    </row>
    <row r="11" spans="2:22" x14ac:dyDescent="0.25">
      <c r="B11" s="52">
        <v>6</v>
      </c>
      <c r="C11" s="52">
        <v>3</v>
      </c>
      <c r="D11" s="52">
        <v>2</v>
      </c>
      <c r="E11" s="52">
        <v>0</v>
      </c>
      <c r="F11" s="53">
        <f t="shared" ref="F11:G14" si="0">F10-D11</f>
        <v>6</v>
      </c>
      <c r="G11" s="53">
        <f t="shared" si="0"/>
        <v>10</v>
      </c>
    </row>
    <row r="12" spans="2:22" x14ac:dyDescent="0.25">
      <c r="B12" s="52">
        <v>7</v>
      </c>
      <c r="C12" s="52">
        <v>4</v>
      </c>
      <c r="D12" s="52">
        <v>2</v>
      </c>
      <c r="E12" s="52">
        <v>0</v>
      </c>
      <c r="F12" s="53">
        <f t="shared" si="0"/>
        <v>4</v>
      </c>
      <c r="G12" s="53">
        <f t="shared" si="0"/>
        <v>10</v>
      </c>
    </row>
    <row r="13" spans="2:22" x14ac:dyDescent="0.25">
      <c r="B13" s="52">
        <v>8</v>
      </c>
      <c r="C13" s="52">
        <v>5</v>
      </c>
      <c r="D13" s="52">
        <v>2</v>
      </c>
      <c r="E13" s="52">
        <v>0</v>
      </c>
      <c r="F13" s="53">
        <f t="shared" si="0"/>
        <v>2</v>
      </c>
      <c r="G13" s="53">
        <f t="shared" si="0"/>
        <v>10</v>
      </c>
    </row>
    <row r="14" spans="2:22" x14ac:dyDescent="0.25">
      <c r="B14" s="52">
        <v>9</v>
      </c>
      <c r="C14" s="52">
        <v>6</v>
      </c>
      <c r="D14" s="52">
        <v>2</v>
      </c>
      <c r="E14" s="52">
        <v>0</v>
      </c>
      <c r="F14" s="53">
        <f t="shared" si="0"/>
        <v>0</v>
      </c>
      <c r="G14" s="53">
        <f t="shared" si="0"/>
        <v>10</v>
      </c>
    </row>
  </sheetData>
  <mergeCells count="1">
    <mergeCell ref="B6:R6"/>
  </mergeCells>
  <pageMargins left="0.59055118110236227" right="0.98425196850393704" top="1.7716535433070868" bottom="0.98425196850393704" header="0.51181102362204722" footer="0.51181102362204722"/>
  <pageSetup paperSize="8" firstPageNumber="0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Test Check to US</vt:lpstr>
      <vt:lpstr>BURNDOWN CHART 1ºSprint</vt:lpstr>
      <vt:lpstr>BURNDOWN CHART 2ºSprint </vt:lpstr>
      <vt:lpstr>BURNDOWN CHART 3ºSprint </vt:lpstr>
      <vt:lpstr>BURNDOWN CHART 4ºSprint</vt:lpstr>
      <vt:lpstr>BURNDOWN CHART 5ºSprint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Rafael Felicio da Conceição</dc:creator>
  <cp:lastModifiedBy>Pedro Rafael Felicio da Conceição</cp:lastModifiedBy>
  <dcterms:created xsi:type="dcterms:W3CDTF">2025-10-19T09:11:42Z</dcterms:created>
  <dcterms:modified xsi:type="dcterms:W3CDTF">2025-10-30T20:06:40Z</dcterms:modified>
</cp:coreProperties>
</file>