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1_Formação\05_Mestrado (ISCTE)\1Ano\1Semestre\ADS\PG\docs\"/>
    </mc:Choice>
  </mc:AlternateContent>
  <xr:revisionPtr revIDLastSave="0" documentId="13_ncr:1_{75D45804-8D80-4DE5-ACD6-BC473B8FB548}" xr6:coauthVersionLast="47" xr6:coauthVersionMax="47" xr10:uidLastSave="{00000000-0000-0000-0000-000000000000}"/>
  <bookViews>
    <workbookView xWindow="0" yWindow="360" windowWidth="23256" windowHeight="12456" xr2:uid="{7DEC2CA6-CF89-4290-8B80-2E392530E8C2}"/>
  </bookViews>
  <sheets>
    <sheet name="Folha1" sheetId="1" r:id="rId1"/>
    <sheet name="Gestão de riscos" sheetId="2" r:id="rId2"/>
    <sheet name="Test Check to US" sheetId="3" r:id="rId3"/>
    <sheet name="BURNDOWN CHART 1ºSprint" sheetId="4" r:id="rId4"/>
    <sheet name="BURNDOWN CHART 2ºSprint " sheetId="5" r:id="rId5"/>
    <sheet name="BURNDOWN CHART 3ºSprint " sheetId="6" r:id="rId6"/>
    <sheet name="BURNDOWN CHART 4ºSprint" sheetId="7" r:id="rId7"/>
    <sheet name="BURNDOWN CHART 5ºSprint" sheetId="8" r:id="rId8"/>
  </sheets>
  <externalReferences>
    <externalReference r:id="rId9"/>
  </externalReferences>
  <definedNames>
    <definedName name="_xlnm._FilterDatabase" localSheetId="1" hidden="1">'Gestão de riscos'!$B$4:$G$11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8" l="1"/>
  <c r="G11" i="8" s="1"/>
  <c r="G12" i="8" s="1"/>
  <c r="G13" i="8" s="1"/>
  <c r="G14" i="8" s="1"/>
  <c r="F10" i="8"/>
  <c r="F11" i="8" s="1"/>
  <c r="F12" i="8" s="1"/>
  <c r="F13" i="8" s="1"/>
  <c r="F14" i="8" s="1"/>
  <c r="C9" i="8"/>
  <c r="G10" i="7"/>
  <c r="G11" i="7" s="1"/>
  <c r="G12" i="7" s="1"/>
  <c r="G13" i="7" s="1"/>
  <c r="G14" i="7" s="1"/>
  <c r="G15" i="7" s="1"/>
  <c r="F10" i="7"/>
  <c r="F11" i="7" s="1"/>
  <c r="F12" i="7" s="1"/>
  <c r="F13" i="7" s="1"/>
  <c r="F14" i="7" s="1"/>
  <c r="F15" i="7" s="1"/>
  <c r="C9" i="7"/>
  <c r="G10" i="6"/>
  <c r="G11" i="6" s="1"/>
  <c r="G12" i="6" s="1"/>
  <c r="G13" i="6" s="1"/>
  <c r="G14" i="6" s="1"/>
  <c r="G15" i="6" s="1"/>
  <c r="F10" i="6"/>
  <c r="F11" i="6" s="1"/>
  <c r="F12" i="6" s="1"/>
  <c r="F13" i="6" s="1"/>
  <c r="F14" i="6" s="1"/>
  <c r="F15" i="6" s="1"/>
  <c r="C9" i="6"/>
  <c r="G11" i="5"/>
  <c r="G12" i="5" s="1"/>
  <c r="G13" i="5" s="1"/>
  <c r="G14" i="5" s="1"/>
  <c r="G15" i="5" s="1"/>
  <c r="F11" i="5"/>
  <c r="F12" i="5" s="1"/>
  <c r="F13" i="5" s="1"/>
  <c r="F14" i="5" s="1"/>
  <c r="F15" i="5" s="1"/>
  <c r="G10" i="5"/>
  <c r="F10" i="5"/>
  <c r="C9" i="5"/>
  <c r="G10" i="4"/>
  <c r="G11" i="4" s="1"/>
  <c r="G12" i="4" s="1"/>
  <c r="G13" i="4" s="1"/>
  <c r="G14" i="4" s="1"/>
  <c r="G15" i="4" s="1"/>
  <c r="F10" i="4"/>
  <c r="F11" i="4" s="1"/>
  <c r="F12" i="4" s="1"/>
  <c r="F13" i="4" s="1"/>
  <c r="F14" i="4" s="1"/>
  <c r="F15" i="4" s="1"/>
  <c r="C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8" authorId="0" shapeId="0" xr:uid="{8FC61AB6-CA70-4377-8D40-C054F83A7715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Change the timescale that you need e.g. Sprint or Iteration.</t>
        </r>
      </text>
    </comment>
    <comment ref="D8" authorId="0" shapeId="0" xr:uid="{4C8FAD7A-1C61-47B0-B52A-CA220137CCC0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Number of features of story points you plan to complete.</t>
        </r>
      </text>
    </comment>
    <comment ref="G8" authorId="0" shapeId="0" xr:uid="{E695F20C-8624-4AE4-8CFE-C47FC2D138F2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Number of features or story points actually remaining at the end of each day/iteration/sprint.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8" authorId="0" shapeId="0" xr:uid="{58F86887-EA75-4C7C-8B5F-FACE6A0D8816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Change the timescale that you need e.g. Sprint or Iteration.</t>
        </r>
      </text>
    </comment>
    <comment ref="D8" authorId="0" shapeId="0" xr:uid="{D682965B-4DB7-4ACD-97FA-63B843AEB71F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Number of features of story points you plan to complete.</t>
        </r>
      </text>
    </comment>
    <comment ref="G8" authorId="0" shapeId="0" xr:uid="{4BA95643-D1CF-404E-B33F-41299826FAC3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Number of features or story points actually remaining at the end of each day/iteration/sprint.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8" authorId="0" shapeId="0" xr:uid="{B5882579-8F2F-4252-A6E3-15DA6ABBD059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Change the timescale that you need e.g. Sprint or Iteration.</t>
        </r>
      </text>
    </comment>
    <comment ref="D8" authorId="0" shapeId="0" xr:uid="{2DFAF56B-30EB-42FA-AA46-18C03AF6FF90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Number of features of story points you plan to complete.</t>
        </r>
      </text>
    </comment>
    <comment ref="G8" authorId="0" shapeId="0" xr:uid="{50652F0C-8507-4808-BD64-A39A0D7B7A83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Number of features or story points actually remaining at the end of each day/iteration/sprint.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8" authorId="0" shapeId="0" xr:uid="{4C812AD6-6EA8-4070-8406-49DBAB5FD8FA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Change the timescale that you need e.g. Sprint or Iteration.</t>
        </r>
      </text>
    </comment>
    <comment ref="D8" authorId="0" shapeId="0" xr:uid="{C58F6887-4DCD-46B4-8D44-292B289A9B53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Number of features of story points you plan to complete.</t>
        </r>
      </text>
    </comment>
    <comment ref="G8" authorId="0" shapeId="0" xr:uid="{CDD22C07-54FF-4292-86FF-9F659ED5D912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Number of features or story points actually remaining at the end of each day/iteration/sprint.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8" authorId="0" shapeId="0" xr:uid="{C6B3CC1A-98D4-4A8F-A3C4-8B3AE501E280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Change the timescale that you need e.g. Sprint or Iteration.</t>
        </r>
      </text>
    </comment>
    <comment ref="D8" authorId="0" shapeId="0" xr:uid="{EBAA20D5-5595-4EE9-89FD-D85E72572D53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Number of features of story points you plan to complete.</t>
        </r>
      </text>
    </comment>
    <comment ref="G8" authorId="0" shapeId="0" xr:uid="{BD91B354-6403-4213-B504-F1A597EDFB69}">
      <text>
        <r>
          <rPr>
            <sz val="11"/>
            <color rgb="FF000000"/>
            <rFont val="Calibri"/>
            <family val="2"/>
            <charset val="1"/>
          </rPr>
          <t xml:space="preserve">stakeholdermap.com:
</t>
        </r>
        <r>
          <rPr>
            <sz val="9"/>
            <color rgb="FF000000"/>
            <rFont val="Tahoma"/>
            <family val="2"/>
            <charset val="1"/>
          </rPr>
          <t>Number of features or story points actually remaining at the end of each day/iteration/sprint.</t>
        </r>
      </text>
    </comment>
  </commentList>
</comments>
</file>

<file path=xl/sharedStrings.xml><?xml version="1.0" encoding="utf-8"?>
<sst xmlns="http://schemas.openxmlformats.org/spreadsheetml/2006/main" count="148" uniqueCount="87">
  <si>
    <t>5NOV a 1ODEZ</t>
  </si>
  <si>
    <t>Diagrama de gantt</t>
  </si>
  <si>
    <t>Gestão de Riscos</t>
  </si>
  <si>
    <t>Risco</t>
  </si>
  <si>
    <t>Grau de Impacto</t>
  </si>
  <si>
    <t>Grau de Probabilidade</t>
  </si>
  <si>
    <t>Consequências</t>
  </si>
  <si>
    <t xml:space="preserve">Recursos Afetados </t>
  </si>
  <si>
    <t>Estratégia de Ação</t>
  </si>
  <si>
    <t>Mistura entre trabalho e estágio</t>
  </si>
  <si>
    <t>Projeto inacabado, desmotivação, impossibilidade de finalizar o estágio.</t>
  </si>
  <si>
    <t>Projeto</t>
  </si>
  <si>
    <t>Realizar uma separação clara entre horas dedicadas para o trabalho normal diário e o tempo alocado para o desenvolvimento do estágio</t>
  </si>
  <si>
    <t>Discordância com os stakeholders</t>
  </si>
  <si>
    <t>Insucesso do projeto, alterações ao produto/projeto e atraso de prazos.</t>
  </si>
  <si>
    <t>Projeto, Produto</t>
  </si>
  <si>
    <t>Efetuar uma reunião com as partes interessadas</t>
  </si>
  <si>
    <t>Problemas de hardware</t>
  </si>
  <si>
    <t>Atraso no projeto, perda do desenvolvimento e progresso realizado e probabilidade de perda de equipamento.</t>
  </si>
  <si>
    <t>Projeto, Produto e Recursos</t>
  </si>
  <si>
    <t>Reparar ou adquirir novo hardware</t>
  </si>
  <si>
    <t>Desmotivação</t>
  </si>
  <si>
    <t>Atraso no projeto, atraso na entrega, possibilidade de não existir entrega.</t>
  </si>
  <si>
    <t xml:space="preserve">Fazer uma revisão ao projeto e realizar entregas mais frequentes aos stakeholders de forma a acrescentar mais valor ao produto e aumentar a interação com os stakeholders </t>
  </si>
  <si>
    <t>Falta de skills</t>
  </si>
  <si>
    <t>Atraso no projeto, projeto incompleto, com falhas.</t>
  </si>
  <si>
    <t>Projeto e Produto</t>
  </si>
  <si>
    <t>Solicitar ajuda ao supervisor, dedicar mais tempo para o desenvolvimento do projeto</t>
  </si>
  <si>
    <t>Problemas de software</t>
  </si>
  <si>
    <t>Atraso no projeto e complicações no desenvolvimento do produto.</t>
  </si>
  <si>
    <t>Encontrar softwares alternativos, executar testes ao software</t>
  </si>
  <si>
    <t>Covid19</t>
  </si>
  <si>
    <t>Atraso no projeto, impossibilidade de desenvolvimento por tempo indeterminado.</t>
  </si>
  <si>
    <t>Revisão do planeamento e tarefas. Escolha das tarefas prioritárias para o projeto</t>
  </si>
  <si>
    <t>TEST CHECK</t>
  </si>
  <si>
    <t>List of Use Story</t>
  </si>
  <si>
    <t>Test case title</t>
  </si>
  <si>
    <t>Overview</t>
  </si>
  <si>
    <t>Status</t>
  </si>
  <si>
    <t>Classification of issue</t>
  </si>
  <si>
    <t>Type of issue</t>
  </si>
  <si>
    <t>US01</t>
  </si>
  <si>
    <t>Passed</t>
  </si>
  <si>
    <t>Servertity</t>
  </si>
  <si>
    <t>Issue type</t>
  </si>
  <si>
    <t>US02</t>
  </si>
  <si>
    <t>Not tested</t>
  </si>
  <si>
    <t>Urgent</t>
  </si>
  <si>
    <t>Sub-Task</t>
  </si>
  <si>
    <t>This is the sub-task of an issue. In a logged issue, there can be different tasks to resolve it, which are called as sub-tasks.</t>
  </si>
  <si>
    <t>US03</t>
  </si>
  <si>
    <t>In progress</t>
  </si>
  <si>
    <t>High</t>
  </si>
  <si>
    <t>Bug</t>
  </si>
  <si>
    <t>A problem that impairs or prevents the functions of the product.</t>
  </si>
  <si>
    <t>US04</t>
  </si>
  <si>
    <t>Blocked</t>
  </si>
  <si>
    <t>Medium</t>
  </si>
  <si>
    <t>Epic</t>
  </si>
  <si>
    <t>A big user story that needs to be broken down. Created by JIRA Software - do not edit or delete.</t>
  </si>
  <si>
    <t>US05</t>
  </si>
  <si>
    <t>Failed</t>
  </si>
  <si>
    <t>Low</t>
  </si>
  <si>
    <t>Improvement</t>
  </si>
  <si>
    <t>An improvement or enhancement to an existing feature or task.</t>
  </si>
  <si>
    <t>US06</t>
  </si>
  <si>
    <t>None</t>
  </si>
  <si>
    <t>US07</t>
  </si>
  <si>
    <t>US08</t>
  </si>
  <si>
    <t>US09</t>
  </si>
  <si>
    <t>BURNDOWN CHART 1º SPRINT</t>
  </si>
  <si>
    <t>Days</t>
  </si>
  <si>
    <t>Goal</t>
  </si>
  <si>
    <t>Done</t>
  </si>
  <si>
    <t>Goal velocity</t>
  </si>
  <si>
    <t>Remaining</t>
  </si>
  <si>
    <t>Date (NOV)</t>
  </si>
  <si>
    <t>Date (DEZ)</t>
  </si>
  <si>
    <t>Como programador, quero submeter o código Java do meu projeto para análise, para que o sistema possa identificar problemas e calcular métricas de qualidade.</t>
  </si>
  <si>
    <r>
      <t xml:space="preserve">Como programador, quero que o sistema detete automaticamente </t>
    </r>
    <r>
      <rPr>
        <i/>
        <sz val="12"/>
        <color theme="1"/>
        <rFont val="Aptos"/>
        <family val="2"/>
      </rPr>
      <t>bugs</t>
    </r>
    <r>
      <rPr>
        <sz val="12"/>
        <color theme="1"/>
        <rFont val="Aptos"/>
        <family val="2"/>
      </rPr>
      <t xml:space="preserve">, </t>
    </r>
    <r>
      <rPr>
        <i/>
        <sz val="12"/>
        <color theme="1"/>
        <rFont val="Aptos"/>
        <family val="2"/>
      </rPr>
      <t>code</t>
    </r>
    <r>
      <rPr>
        <sz val="12"/>
        <color theme="1"/>
        <rFont val="Aptos"/>
        <family val="2"/>
      </rPr>
      <t xml:space="preserve"> </t>
    </r>
    <r>
      <rPr>
        <i/>
        <sz val="12"/>
        <color theme="1"/>
        <rFont val="Aptos"/>
        <family val="2"/>
      </rPr>
      <t>smells</t>
    </r>
    <r>
      <rPr>
        <sz val="12"/>
        <color theme="1"/>
        <rFont val="Aptos"/>
        <family val="2"/>
      </rPr>
      <t xml:space="preserve"> e vulnerabilidades de segurança, para que eu possa corrigir problemas críticos antes de integrar o código.</t>
    </r>
  </si>
  <si>
    <t>Como gestor de equipa, quero visualizar diversas métricas de qualidade de cada análise, para que poder acompanhar o estado geral em que se encontra o projeto.</t>
  </si>
  <si>
    <r>
      <t xml:space="preserve">Como gestor do projeto, quero personalizar as métricas de qualidade que vou usar e os </t>
    </r>
    <r>
      <rPr>
        <i/>
        <sz val="12"/>
        <color theme="1"/>
        <rFont val="Aptos"/>
        <family val="2"/>
      </rPr>
      <t>thresholds</t>
    </r>
    <r>
      <rPr>
        <sz val="12"/>
        <color theme="1"/>
        <rFont val="Aptos"/>
        <family val="2"/>
      </rPr>
      <t xml:space="preserve"> pertencentes a cada uma, para que o projeto siga as boas práticas definidas para o desenvolvimento do código.</t>
    </r>
  </si>
  <si>
    <t>Como gestor do projeto, quero que o sistema gere uma pontuação global da qualidade do projeto, para que eu tenha uma visão genérica e rápida do estado em que se encontra o código desenvolvido.</t>
  </si>
  <si>
    <t>Como gestor do projeto, quero aceder a relatórios detalhados por projeto e módulo, para que eu possa identificar rapidamente as áreas com maior número de problemas e agir de forma a adequar métodos e estratégias de desenvolvimento.</t>
  </si>
  <si>
    <t>Como gestor do projeto ou/e programador, quero comparar as diversas versões do código produzido, para que possa ver a evolução da qualidade do mesmo ao longo do tempo.</t>
  </si>
  <si>
    <r>
      <t xml:space="preserve">Como gestor do projeto, quero ter a capacidade exportar relatórios em diferentes tipos (PDF, CSV ou JSON), para que possa partilhar os resultados com outras equipas ou </t>
    </r>
    <r>
      <rPr>
        <i/>
        <sz val="12"/>
        <color theme="1"/>
        <rFont val="Aptos"/>
        <family val="2"/>
      </rPr>
      <t>stakeholders</t>
    </r>
    <r>
      <rPr>
        <sz val="12"/>
        <color theme="1"/>
        <rFont val="Aptos"/>
        <family val="2"/>
      </rPr>
      <t xml:space="preserve"> e até localizar aspetos a melhorar.</t>
    </r>
  </si>
  <si>
    <r>
      <t xml:space="preserve">Como administrador, quero ter a capacidade de visualizar </t>
    </r>
    <r>
      <rPr>
        <i/>
        <sz val="12"/>
        <color theme="1"/>
        <rFont val="Aptos"/>
        <family val="2"/>
      </rPr>
      <t>dashboards</t>
    </r>
    <r>
      <rPr>
        <sz val="12"/>
        <color theme="1"/>
        <rFont val="Aptos"/>
        <family val="2"/>
      </rPr>
      <t xml:space="preserve"> interativos compostos com gráficos e outras métricas de evolução, para que possa analisar tendências e pontos críticos de forma intuitiva.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</si>
</sst>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3"/>
      <name val="Aptos Narrow"/>
      <scheme val="minor"/>
    </font>
    <font>
      <sz val="28"/>
      <color theme="1"/>
      <name val="Aptos Narrow"/>
      <family val="2"/>
      <scheme val="minor"/>
    </font>
    <font>
      <sz val="11"/>
      <color rgb="FF000000"/>
      <name val="Aptos Narrow"/>
      <family val="2"/>
      <charset val="1"/>
      <scheme val="minor"/>
    </font>
    <font>
      <sz val="12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2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  <charset val="1"/>
    </font>
    <font>
      <sz val="18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9"/>
      <color rgb="FF000000"/>
      <name val="Tahoma"/>
      <family val="2"/>
      <charset val="1"/>
    </font>
    <font>
      <sz val="12"/>
      <color theme="1"/>
      <name val="Aptos"/>
      <family val="2"/>
    </font>
    <font>
      <i/>
      <sz val="12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0070C0"/>
        <bgColor rgb="FF0563C1"/>
      </patternFill>
    </fill>
    <fill>
      <patternFill patternType="solid">
        <fgColor rgb="FFD9D9D9"/>
        <bgColor rgb="FFC0C0C0"/>
      </patternFill>
    </fill>
  </fills>
  <borders count="3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0" fontId="3" fillId="0" borderId="1" applyNumberFormat="0" applyFill="0" applyAlignment="0" applyProtection="0"/>
    <xf numFmtId="0" fontId="11" fillId="0" borderId="0"/>
  </cellStyleXfs>
  <cellXfs count="69">
    <xf numFmtId="0" fontId="0" fillId="0" borderId="0" xfId="0"/>
    <xf numFmtId="0" fontId="3" fillId="0" borderId="1" xfId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2" borderId="2" xfId="0" applyFill="1" applyBorder="1"/>
    <xf numFmtId="0" fontId="4" fillId="2" borderId="3" xfId="0" applyFont="1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0" xfId="0" applyFill="1"/>
    <xf numFmtId="0" fontId="0" fillId="2" borderId="6" xfId="0" applyFill="1" applyBorder="1"/>
    <xf numFmtId="0" fontId="0" fillId="2" borderId="5" xfId="0" applyFill="1" applyBorder="1" applyAlignment="1">
      <alignment vertical="top"/>
    </xf>
    <xf numFmtId="0" fontId="1" fillId="3" borderId="7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0" fillId="2" borderId="6" xfId="0" applyFill="1" applyBorder="1" applyAlignment="1">
      <alignment vertical="top"/>
    </xf>
    <xf numFmtId="0" fontId="0" fillId="0" borderId="0" xfId="0" applyAlignment="1">
      <alignment vertical="top"/>
    </xf>
    <xf numFmtId="0" fontId="1" fillId="3" borderId="11" xfId="0" applyFont="1" applyFill="1" applyBorder="1" applyAlignment="1">
      <alignment vertical="center"/>
    </xf>
    <xf numFmtId="0" fontId="1" fillId="3" borderId="12" xfId="0" applyFont="1" applyFill="1" applyBorder="1" applyAlignment="1">
      <alignment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0" fillId="0" borderId="19" xfId="0" applyBorder="1"/>
    <xf numFmtId="0" fontId="0" fillId="0" borderId="19" xfId="0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0" fillId="4" borderId="23" xfId="0" applyFill="1" applyBorder="1"/>
    <xf numFmtId="0" fontId="0" fillId="0" borderId="24" xfId="0" applyBorder="1"/>
    <xf numFmtId="0" fontId="8" fillId="0" borderId="0" xfId="0" applyFont="1"/>
    <xf numFmtId="0" fontId="0" fillId="4" borderId="2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2" borderId="25" xfId="0" applyFont="1" applyFill="1" applyBorder="1"/>
    <xf numFmtId="0" fontId="0" fillId="0" borderId="25" xfId="0" applyBorder="1"/>
    <xf numFmtId="0" fontId="2" fillId="2" borderId="25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9" fillId="0" borderId="25" xfId="0" applyFont="1" applyBorder="1" applyAlignment="1">
      <alignment wrapText="1"/>
    </xf>
    <xf numFmtId="0" fontId="9" fillId="0" borderId="25" xfId="0" applyFont="1" applyBorder="1" applyAlignment="1">
      <alignment horizontal="center" vertical="center" wrapText="1"/>
    </xf>
    <xf numFmtId="0" fontId="9" fillId="5" borderId="25" xfId="0" applyFont="1" applyFill="1" applyBorder="1" applyAlignment="1">
      <alignment wrapText="1"/>
    </xf>
    <xf numFmtId="0" fontId="9" fillId="5" borderId="25" xfId="0" applyFont="1" applyFill="1" applyBorder="1" applyAlignment="1">
      <alignment horizontal="center" vertical="center" wrapText="1"/>
    </xf>
    <xf numFmtId="0" fontId="10" fillId="0" borderId="21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9" fillId="0" borderId="26" xfId="0" applyFont="1" applyBorder="1" applyAlignment="1">
      <alignment wrapText="1"/>
    </xf>
    <xf numFmtId="0" fontId="0" fillId="0" borderId="27" xfId="0" applyBorder="1"/>
    <xf numFmtId="0" fontId="9" fillId="0" borderId="26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2" borderId="28" xfId="0" applyFill="1" applyBorder="1"/>
    <xf numFmtId="0" fontId="0" fillId="2" borderId="12" xfId="0" applyFill="1" applyBorder="1"/>
    <xf numFmtId="0" fontId="0" fillId="2" borderId="29" xfId="0" applyFill="1" applyBorder="1"/>
    <xf numFmtId="0" fontId="12" fillId="6" borderId="0" xfId="2" applyFont="1" applyFill="1" applyAlignment="1">
      <alignment horizontal="center"/>
    </xf>
    <xf numFmtId="0" fontId="12" fillId="0" borderId="0" xfId="2" applyFont="1"/>
    <xf numFmtId="0" fontId="11" fillId="0" borderId="0" xfId="2"/>
    <xf numFmtId="0" fontId="13" fillId="6" borderId="0" xfId="2" applyFont="1" applyFill="1" applyAlignment="1">
      <alignment horizontal="center" vertical="center"/>
    </xf>
    <xf numFmtId="0" fontId="11" fillId="0" borderId="21" xfId="2" applyBorder="1" applyAlignment="1">
      <alignment horizontal="center" vertical="center"/>
    </xf>
    <xf numFmtId="0" fontId="11" fillId="7" borderId="21" xfId="2" applyFill="1" applyBorder="1" applyAlignment="1">
      <alignment horizontal="center" vertical="center"/>
    </xf>
    <xf numFmtId="0" fontId="15" fillId="0" borderId="17" xfId="0" applyFont="1" applyBorder="1" applyAlignment="1">
      <alignment horizontal="left" vertical="center" wrapText="1"/>
    </xf>
    <xf numFmtId="0" fontId="15" fillId="0" borderId="21" xfId="0" applyFont="1" applyBorder="1" applyAlignment="1">
      <alignment vertical="center" wrapText="1"/>
    </xf>
    <xf numFmtId="0" fontId="15" fillId="0" borderId="30" xfId="0" applyFont="1" applyBorder="1" applyAlignment="1">
      <alignment vertical="center" wrapText="1"/>
    </xf>
  </cellXfs>
  <cellStyles count="3">
    <cellStyle name="Cabeçalho 1 2" xfId="1" xr:uid="{22A1AFC1-1147-4461-9DD1-CC7B48504495}"/>
    <cellStyle name="Normal" xfId="0" builtinId="0"/>
    <cellStyle name="Normal 2" xfId="2" xr:uid="{EEC9C09B-E6E4-4B91-A270-87C046EE7CAA}"/>
  </cellStyles>
  <dxfs count="20">
    <dxf>
      <fill>
        <patternFill>
          <bgColor rgb="FFFFF551"/>
        </patternFill>
      </fill>
    </dxf>
    <dxf>
      <fill>
        <patternFill>
          <bgColor rgb="FFE39191"/>
        </patternFill>
      </fill>
    </dxf>
    <dxf>
      <fill>
        <patternFill>
          <bgColor rgb="FF9BDFFF"/>
        </patternFill>
      </fill>
    </dxf>
    <dxf>
      <fill>
        <patternFill>
          <bgColor rgb="FF9CE78C"/>
        </patternFill>
      </fill>
    </dxf>
    <dxf>
      <fill>
        <patternFill>
          <bgColor rgb="FFFFF551"/>
        </patternFill>
      </fill>
    </dxf>
    <dxf>
      <fill>
        <patternFill>
          <bgColor rgb="FFE39191"/>
        </patternFill>
      </fill>
    </dxf>
    <dxf>
      <fill>
        <patternFill>
          <bgColor rgb="FF9BDFFF"/>
        </patternFill>
      </fill>
    </dxf>
    <dxf>
      <fill>
        <patternFill>
          <bgColor rgb="FF9CE78C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1" tint="0.34998626667073579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5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medium">
          <color auto="1"/>
        </left>
        <right style="medium">
          <color auto="1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'BURNDOWN CHART 1ºSprint'!$F$8</c:f>
              <c:strCache>
                <c:ptCount val="1"/>
                <c:pt idx="0">
                  <c:v>Goal velocity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'BURNDOWN CHART 1ºSprint'!$C$9:$C$15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'BURNDOWN CHART 1ºSprint'!$F$9:$F$15</c:f>
              <c:numCache>
                <c:formatCode>General</c:formatCode>
                <c:ptCount val="7"/>
                <c:pt idx="0">
                  <c:v>12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4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30-4C63-A0CD-5447C7F6DDB8}"/>
            </c:ext>
          </c:extLst>
        </c:ser>
        <c:ser>
          <c:idx val="1"/>
          <c:order val="1"/>
          <c:tx>
            <c:strRef>
              <c:f>'BURNDOWN CHART 1ºSprint'!$G$8</c:f>
              <c:strCache>
                <c:ptCount val="1"/>
                <c:pt idx="0">
                  <c:v>Remaining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'BURNDOWN CHART 1ºSprint'!$C$9:$C$15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'BURNDOWN CHART 1ºSprint'!$G$9:$G$15</c:f>
              <c:numCache>
                <c:formatCode>General</c:formatCode>
                <c:ptCount val="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30-4C63-A0CD-5447C7F6D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0373560"/>
        <c:axId val="229263271"/>
      </c:lineChart>
      <c:catAx>
        <c:axId val="4203735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9263271"/>
        <c:crosses val="autoZero"/>
        <c:auto val="1"/>
        <c:lblAlgn val="ctr"/>
        <c:lblOffset val="100"/>
        <c:noMultiLvlLbl val="0"/>
      </c:catAx>
      <c:valAx>
        <c:axId val="229263271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Points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cross"/>
        <c:minorTickMark val="cross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420373560"/>
        <c:crosses val="autoZero"/>
        <c:crossBetween val="between"/>
        <c:majorUnit val="10"/>
        <c:minorUnit val="2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'BURNDOWN CHART 2ºSprint '!$F$8</c:f>
              <c:strCache>
                <c:ptCount val="1"/>
                <c:pt idx="0">
                  <c:v>Goal velocity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'BURNDOWN CHART 2ºSprint '!$C$9:$C$15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'BURNDOWN CHART 2ºSprint '!$F$9:$F$15</c:f>
              <c:numCache>
                <c:formatCode>General</c:formatCode>
                <c:ptCount val="7"/>
                <c:pt idx="0">
                  <c:v>12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4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55-4C25-B6B9-C39F11911166}"/>
            </c:ext>
          </c:extLst>
        </c:ser>
        <c:ser>
          <c:idx val="1"/>
          <c:order val="1"/>
          <c:tx>
            <c:strRef>
              <c:f>'BURNDOWN CHART 2ºSprint '!$G$8</c:f>
              <c:strCache>
                <c:ptCount val="1"/>
                <c:pt idx="0">
                  <c:v>Remaining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'BURNDOWN CHART 2ºSprint '!$C$9:$C$15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'BURNDOWN CHART 2ºSprint '!$G$9:$G$15</c:f>
              <c:numCache>
                <c:formatCode>General</c:formatCode>
                <c:ptCount val="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55-4C25-B6B9-C39F11911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0373560"/>
        <c:axId val="229263271"/>
      </c:lineChart>
      <c:catAx>
        <c:axId val="4203735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9263271"/>
        <c:crosses val="autoZero"/>
        <c:auto val="1"/>
        <c:lblAlgn val="ctr"/>
        <c:lblOffset val="100"/>
        <c:noMultiLvlLbl val="0"/>
      </c:catAx>
      <c:valAx>
        <c:axId val="229263271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Points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cross"/>
        <c:minorTickMark val="cross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420373560"/>
        <c:crosses val="autoZero"/>
        <c:crossBetween val="between"/>
        <c:majorUnit val="10"/>
        <c:minorUnit val="2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'BURNDOWN CHART 3ºSprint '!$F$8</c:f>
              <c:strCache>
                <c:ptCount val="1"/>
                <c:pt idx="0">
                  <c:v>Goal velocity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'BURNDOWN CHART 3ºSprint '!$C$9:$C$15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'BURNDOWN CHART 3ºSprint '!$F$9:$F$15</c:f>
              <c:numCache>
                <c:formatCode>General</c:formatCode>
                <c:ptCount val="7"/>
                <c:pt idx="0">
                  <c:v>12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4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E6-4682-AC36-46A2228C38F9}"/>
            </c:ext>
          </c:extLst>
        </c:ser>
        <c:ser>
          <c:idx val="1"/>
          <c:order val="1"/>
          <c:tx>
            <c:strRef>
              <c:f>'BURNDOWN CHART 3ºSprint '!$G$8</c:f>
              <c:strCache>
                <c:ptCount val="1"/>
                <c:pt idx="0">
                  <c:v>Remaining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'BURNDOWN CHART 3ºSprint '!$C$9:$C$15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'BURNDOWN CHART 3ºSprint '!$G$9:$G$15</c:f>
              <c:numCache>
                <c:formatCode>General</c:formatCode>
                <c:ptCount val="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E6-4682-AC36-46A2228C3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0373560"/>
        <c:axId val="229263271"/>
      </c:lineChart>
      <c:catAx>
        <c:axId val="4203735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9263271"/>
        <c:crosses val="autoZero"/>
        <c:auto val="1"/>
        <c:lblAlgn val="ctr"/>
        <c:lblOffset val="100"/>
        <c:noMultiLvlLbl val="0"/>
      </c:catAx>
      <c:valAx>
        <c:axId val="229263271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Points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cross"/>
        <c:minorTickMark val="cross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420373560"/>
        <c:crosses val="autoZero"/>
        <c:crossBetween val="between"/>
        <c:majorUnit val="10"/>
        <c:minorUnit val="2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'BURNDOWN CHART 4ºSprint'!$F$8</c:f>
              <c:strCache>
                <c:ptCount val="1"/>
                <c:pt idx="0">
                  <c:v>Goal velocity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'BURNDOWN CHART 4ºSprint'!$C$9:$C$15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'BURNDOWN CHART 4ºSprint'!$F$9:$F$15</c:f>
              <c:numCache>
                <c:formatCode>General</c:formatCode>
                <c:ptCount val="7"/>
                <c:pt idx="0">
                  <c:v>12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4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D2-4BA1-8B58-26259BBB6A90}"/>
            </c:ext>
          </c:extLst>
        </c:ser>
        <c:ser>
          <c:idx val="1"/>
          <c:order val="1"/>
          <c:tx>
            <c:strRef>
              <c:f>'BURNDOWN CHART 4ºSprint'!$G$8</c:f>
              <c:strCache>
                <c:ptCount val="1"/>
                <c:pt idx="0">
                  <c:v>Remaining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'BURNDOWN CHART 4ºSprint'!$C$9:$C$15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'BURNDOWN CHART 4ºSprint'!$G$9:$G$15</c:f>
              <c:numCache>
                <c:formatCode>General</c:formatCode>
                <c:ptCount val="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D2-4BA1-8B58-26259BBB6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0373560"/>
        <c:axId val="229263271"/>
      </c:lineChart>
      <c:catAx>
        <c:axId val="4203735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9263271"/>
        <c:crosses val="autoZero"/>
        <c:auto val="1"/>
        <c:lblAlgn val="ctr"/>
        <c:lblOffset val="100"/>
        <c:noMultiLvlLbl val="0"/>
      </c:catAx>
      <c:valAx>
        <c:axId val="229263271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Points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cross"/>
        <c:minorTickMark val="cross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420373560"/>
        <c:crosses val="autoZero"/>
        <c:crossBetween val="between"/>
        <c:majorUnit val="10"/>
        <c:minorUnit val="2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'BURNDOWN CHART 5ºSprint'!$F$8</c:f>
              <c:strCache>
                <c:ptCount val="1"/>
                <c:pt idx="0">
                  <c:v>Goal velocity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'BURNDOWN CHART 5ºSprint'!$C$9:$C$14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'BURNDOWN CHART 5ºSprint'!$F$9:$F$14</c:f>
              <c:numCache>
                <c:formatCode>General</c:formatCode>
                <c:ptCount val="6"/>
                <c:pt idx="0">
                  <c:v>10</c:v>
                </c:pt>
                <c:pt idx="1">
                  <c:v>8</c:v>
                </c:pt>
                <c:pt idx="2">
                  <c:v>6</c:v>
                </c:pt>
                <c:pt idx="3">
                  <c:v>4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C-40D3-950C-B237F31CEDA4}"/>
            </c:ext>
          </c:extLst>
        </c:ser>
        <c:ser>
          <c:idx val="1"/>
          <c:order val="1"/>
          <c:tx>
            <c:strRef>
              <c:f>'BURNDOWN CHART 5ºSprint'!$G$8</c:f>
              <c:strCache>
                <c:ptCount val="1"/>
                <c:pt idx="0">
                  <c:v>Remaining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'BURNDOWN CHART 5ºSprint'!$C$9:$C$14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'BURNDOWN CHART 5ºSprint'!$G$9:$G$14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C-40D3-950C-B237F31CE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0373560"/>
        <c:axId val="229263271"/>
      </c:lineChart>
      <c:catAx>
        <c:axId val="4203735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29263271"/>
        <c:crosses val="autoZero"/>
        <c:auto val="1"/>
        <c:lblAlgn val="ctr"/>
        <c:lblOffset val="100"/>
        <c:noMultiLvlLbl val="0"/>
      </c:catAx>
      <c:valAx>
        <c:axId val="229263271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Points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cross"/>
        <c:minorTickMark val="cross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420373560"/>
        <c:crosses val="autoZero"/>
        <c:crossBetween val="between"/>
        <c:majorUnit val="10"/>
        <c:minorUnit val="2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hyperlink" Target="https://www.stakeholdermap.com/project-templates/project-actions-template.html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hyperlink" Target="https://www.stakeholdermap.com/project-templates/project-actions-template.html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1.png"/><Relationship Id="rId1" Type="http://schemas.openxmlformats.org/officeDocument/2006/relationships/hyperlink" Target="https://www.stakeholdermap.com/project-templates/project-actions-template.html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1.png"/><Relationship Id="rId1" Type="http://schemas.openxmlformats.org/officeDocument/2006/relationships/hyperlink" Target="https://www.stakeholdermap.com/project-templates/project-actions-template.html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image" Target="../media/image1.png"/><Relationship Id="rId1" Type="http://schemas.openxmlformats.org/officeDocument/2006/relationships/hyperlink" Target="https://www.stakeholdermap.com/project-templates/project-actions-template.html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76320</xdr:colOff>
      <xdr:row>0</xdr:row>
      <xdr:rowOff>76320</xdr:rowOff>
    </xdr:from>
    <xdr:to>
      <xdr:col>9</xdr:col>
      <xdr:colOff>94950</xdr:colOff>
      <xdr:row>4</xdr:row>
      <xdr:rowOff>134910</xdr:rowOff>
    </xdr:to>
    <xdr:pic>
      <xdr:nvPicPr>
        <xdr:cNvPr id="2" name="Picture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18CCF15-CA40-4CD0-B7ED-83203A50E42B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58260" y="76320"/>
          <a:ext cx="6175590" cy="79011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7</xdr:col>
      <xdr:colOff>129540</xdr:colOff>
      <xdr:row>6</xdr:row>
      <xdr:rowOff>173181</xdr:rowOff>
    </xdr:from>
    <xdr:to>
      <xdr:col>18</xdr:col>
      <xdr:colOff>0</xdr:colOff>
      <xdr:row>25</xdr:row>
      <xdr:rowOff>76200</xdr:rowOff>
    </xdr:to>
    <xdr:graphicFrame macro="">
      <xdr:nvGraphicFramePr>
        <xdr:cNvPr id="3" name="Chart 8">
          <a:extLst>
            <a:ext uri="{FF2B5EF4-FFF2-40B4-BE49-F238E27FC236}">
              <a16:creationId xmlns:a16="http://schemas.microsoft.com/office/drawing/2014/main" id="{017999E7-CCE9-4181-9BF0-14D1844D3C40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76320</xdr:colOff>
      <xdr:row>0</xdr:row>
      <xdr:rowOff>76320</xdr:rowOff>
    </xdr:from>
    <xdr:to>
      <xdr:col>9</xdr:col>
      <xdr:colOff>94950</xdr:colOff>
      <xdr:row>4</xdr:row>
      <xdr:rowOff>134910</xdr:rowOff>
    </xdr:to>
    <xdr:pic>
      <xdr:nvPicPr>
        <xdr:cNvPr id="2" name="Picture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EE7145B-0C8E-4BA7-8BEF-53E5D3736DE8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58260" y="76320"/>
          <a:ext cx="6175590" cy="79011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7</xdr:col>
      <xdr:colOff>129540</xdr:colOff>
      <xdr:row>6</xdr:row>
      <xdr:rowOff>173181</xdr:rowOff>
    </xdr:from>
    <xdr:to>
      <xdr:col>18</xdr:col>
      <xdr:colOff>0</xdr:colOff>
      <xdr:row>25</xdr:row>
      <xdr:rowOff>76200</xdr:rowOff>
    </xdr:to>
    <xdr:graphicFrame macro="">
      <xdr:nvGraphicFramePr>
        <xdr:cNvPr id="3" name="Chart 8">
          <a:extLst>
            <a:ext uri="{FF2B5EF4-FFF2-40B4-BE49-F238E27FC236}">
              <a16:creationId xmlns:a16="http://schemas.microsoft.com/office/drawing/2014/main" id="{8CD9B090-0CD0-4A53-8077-332B6D0F993D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76320</xdr:colOff>
      <xdr:row>0</xdr:row>
      <xdr:rowOff>76320</xdr:rowOff>
    </xdr:from>
    <xdr:to>
      <xdr:col>9</xdr:col>
      <xdr:colOff>94950</xdr:colOff>
      <xdr:row>4</xdr:row>
      <xdr:rowOff>134910</xdr:rowOff>
    </xdr:to>
    <xdr:pic>
      <xdr:nvPicPr>
        <xdr:cNvPr id="2" name="Picture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3102B41-84AB-4895-9BAC-EC68879BC124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58260" y="76320"/>
          <a:ext cx="6175590" cy="79011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7</xdr:col>
      <xdr:colOff>129540</xdr:colOff>
      <xdr:row>6</xdr:row>
      <xdr:rowOff>173181</xdr:rowOff>
    </xdr:from>
    <xdr:to>
      <xdr:col>18</xdr:col>
      <xdr:colOff>0</xdr:colOff>
      <xdr:row>25</xdr:row>
      <xdr:rowOff>76200</xdr:rowOff>
    </xdr:to>
    <xdr:graphicFrame macro="">
      <xdr:nvGraphicFramePr>
        <xdr:cNvPr id="3" name="Chart 8">
          <a:extLst>
            <a:ext uri="{FF2B5EF4-FFF2-40B4-BE49-F238E27FC236}">
              <a16:creationId xmlns:a16="http://schemas.microsoft.com/office/drawing/2014/main" id="{A5794DB5-E133-493A-9F31-909F17D69A2B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76320</xdr:colOff>
      <xdr:row>0</xdr:row>
      <xdr:rowOff>76320</xdr:rowOff>
    </xdr:from>
    <xdr:to>
      <xdr:col>9</xdr:col>
      <xdr:colOff>94950</xdr:colOff>
      <xdr:row>4</xdr:row>
      <xdr:rowOff>134910</xdr:rowOff>
    </xdr:to>
    <xdr:pic>
      <xdr:nvPicPr>
        <xdr:cNvPr id="2" name="Picture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B2581E-421C-472D-B4DC-3034BFAABEB7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58260" y="76320"/>
          <a:ext cx="6175590" cy="79011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7</xdr:col>
      <xdr:colOff>129540</xdr:colOff>
      <xdr:row>6</xdr:row>
      <xdr:rowOff>173181</xdr:rowOff>
    </xdr:from>
    <xdr:to>
      <xdr:col>18</xdr:col>
      <xdr:colOff>0</xdr:colOff>
      <xdr:row>25</xdr:row>
      <xdr:rowOff>76200</xdr:rowOff>
    </xdr:to>
    <xdr:graphicFrame macro="">
      <xdr:nvGraphicFramePr>
        <xdr:cNvPr id="3" name="Chart 8">
          <a:extLst>
            <a:ext uri="{FF2B5EF4-FFF2-40B4-BE49-F238E27FC236}">
              <a16:creationId xmlns:a16="http://schemas.microsoft.com/office/drawing/2014/main" id="{22CC051E-8FC5-463A-9CD9-0905AD6CCCDE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76320</xdr:colOff>
      <xdr:row>0</xdr:row>
      <xdr:rowOff>76320</xdr:rowOff>
    </xdr:from>
    <xdr:to>
      <xdr:col>9</xdr:col>
      <xdr:colOff>94950</xdr:colOff>
      <xdr:row>4</xdr:row>
      <xdr:rowOff>134910</xdr:rowOff>
    </xdr:to>
    <xdr:pic>
      <xdr:nvPicPr>
        <xdr:cNvPr id="2" name="Picture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209175-5F4A-42F6-9832-F49DD4E259D5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58260" y="76320"/>
          <a:ext cx="6175590" cy="79011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7</xdr:col>
      <xdr:colOff>129540</xdr:colOff>
      <xdr:row>6</xdr:row>
      <xdr:rowOff>173181</xdr:rowOff>
    </xdr:from>
    <xdr:to>
      <xdr:col>18</xdr:col>
      <xdr:colOff>0</xdr:colOff>
      <xdr:row>25</xdr:row>
      <xdr:rowOff>76200</xdr:rowOff>
    </xdr:to>
    <xdr:graphicFrame macro="">
      <xdr:nvGraphicFramePr>
        <xdr:cNvPr id="3" name="Chart 8">
          <a:extLst>
            <a:ext uri="{FF2B5EF4-FFF2-40B4-BE49-F238E27FC236}">
              <a16:creationId xmlns:a16="http://schemas.microsoft.com/office/drawing/2014/main" id="{E11C7421-41A7-47D6-B9BA-9C7C9434EF29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01_Forma&#231;&#227;o\02_Licenciatura%20(UA&#199;)\3Ano\2&#186;Semestre\Est&#225;gio\GIT\Documento%20de%20Requisitos\Anexo%206%20-%20burndown-chart%201&#186;Sprint.xlsx" TargetMode="External"/><Relationship Id="rId1" Type="http://schemas.openxmlformats.org/officeDocument/2006/relationships/externalLinkPath" Target="/01_Forma&#231;&#227;o/02_Licenciatura%20(UA&#199;)/3Ano/2&#186;Semestre/Est&#225;gio/GIT/Documento%20de%20Requisitos/Anexo%206%20-%20burndown-chart%201&#186;Spri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RNDOWN CHART"/>
      <sheetName val="PROJECT DETAILS"/>
      <sheetName val="INSTRUCTIONS"/>
      <sheetName val="RESOURCES"/>
    </sheetNames>
    <sheetDataSet>
      <sheetData sheetId="0">
        <row r="8">
          <cell r="F8" t="str">
            <v>Goal velocity</v>
          </cell>
          <cell r="G8" t="str">
            <v>Remaining</v>
          </cell>
        </row>
        <row r="9">
          <cell r="C9">
            <v>1</v>
          </cell>
          <cell r="F9">
            <v>32</v>
          </cell>
          <cell r="G9">
            <v>32</v>
          </cell>
        </row>
        <row r="10">
          <cell r="C10">
            <v>2</v>
          </cell>
          <cell r="F10">
            <v>30.45</v>
          </cell>
          <cell r="G10">
            <v>32</v>
          </cell>
        </row>
        <row r="11">
          <cell r="C11">
            <v>3</v>
          </cell>
          <cell r="F11">
            <v>28.9</v>
          </cell>
          <cell r="G11">
            <v>32</v>
          </cell>
        </row>
        <row r="12">
          <cell r="C12">
            <v>4</v>
          </cell>
          <cell r="F12">
            <v>27.349999999999998</v>
          </cell>
          <cell r="G12">
            <v>32</v>
          </cell>
        </row>
        <row r="13">
          <cell r="C13">
            <v>5</v>
          </cell>
          <cell r="F13">
            <v>25.799999999999997</v>
          </cell>
          <cell r="G13">
            <v>32</v>
          </cell>
        </row>
        <row r="14">
          <cell r="C14">
            <v>6</v>
          </cell>
          <cell r="F14">
            <v>24.249999999999996</v>
          </cell>
          <cell r="G14">
            <v>32</v>
          </cell>
        </row>
        <row r="15">
          <cell r="C15">
            <v>7</v>
          </cell>
          <cell r="F15">
            <v>22.699999999999996</v>
          </cell>
          <cell r="G15">
            <v>32</v>
          </cell>
        </row>
        <row r="16">
          <cell r="C16">
            <v>8</v>
          </cell>
          <cell r="F16">
            <v>21.149999999999995</v>
          </cell>
          <cell r="G16">
            <v>32</v>
          </cell>
        </row>
        <row r="17">
          <cell r="C17">
            <v>9</v>
          </cell>
          <cell r="F17">
            <v>19.599999999999994</v>
          </cell>
          <cell r="G17">
            <v>32</v>
          </cell>
        </row>
        <row r="18">
          <cell r="C18">
            <v>10</v>
          </cell>
          <cell r="F18">
            <v>18.049999999999994</v>
          </cell>
          <cell r="G18">
            <v>32</v>
          </cell>
        </row>
        <row r="19">
          <cell r="C19">
            <v>11</v>
          </cell>
          <cell r="F19">
            <v>16.499999999999993</v>
          </cell>
          <cell r="G19">
            <v>29</v>
          </cell>
        </row>
        <row r="20">
          <cell r="C20">
            <v>12</v>
          </cell>
          <cell r="F20">
            <v>14.999999999999993</v>
          </cell>
          <cell r="G20">
            <v>29</v>
          </cell>
        </row>
        <row r="21">
          <cell r="C21">
            <v>13</v>
          </cell>
          <cell r="F21">
            <v>13.499999999999993</v>
          </cell>
          <cell r="G21">
            <v>25</v>
          </cell>
        </row>
        <row r="22">
          <cell r="C22">
            <v>14</v>
          </cell>
          <cell r="F22">
            <v>11.999999999999993</v>
          </cell>
          <cell r="G22">
            <v>20</v>
          </cell>
        </row>
        <row r="23">
          <cell r="C23">
            <v>15</v>
          </cell>
          <cell r="F23">
            <v>10.499999999999993</v>
          </cell>
          <cell r="G23">
            <v>20</v>
          </cell>
        </row>
        <row r="24">
          <cell r="C24">
            <v>16</v>
          </cell>
          <cell r="F24">
            <v>8.9999999999999929</v>
          </cell>
          <cell r="G24">
            <v>18</v>
          </cell>
        </row>
        <row r="25">
          <cell r="C25">
            <v>17</v>
          </cell>
          <cell r="F25">
            <v>7.4999999999999929</v>
          </cell>
          <cell r="G25">
            <v>14</v>
          </cell>
        </row>
        <row r="26">
          <cell r="C26">
            <v>18</v>
          </cell>
          <cell r="F26">
            <v>5.9999999999999929</v>
          </cell>
          <cell r="G26">
            <v>10</v>
          </cell>
        </row>
        <row r="27">
          <cell r="C27">
            <v>19</v>
          </cell>
          <cell r="F27">
            <v>4.4999999999999929</v>
          </cell>
          <cell r="G27">
            <v>10</v>
          </cell>
        </row>
        <row r="28">
          <cell r="C28">
            <v>20</v>
          </cell>
          <cell r="F28">
            <v>2.9999999999999929</v>
          </cell>
          <cell r="G28">
            <v>5</v>
          </cell>
        </row>
        <row r="29">
          <cell r="C29">
            <v>21</v>
          </cell>
          <cell r="F29">
            <v>1.4999999999999929</v>
          </cell>
          <cell r="G29">
            <v>2</v>
          </cell>
        </row>
        <row r="30">
          <cell r="C30">
            <v>22</v>
          </cell>
          <cell r="F30">
            <v>0</v>
          </cell>
          <cell r="G30">
            <v>0</v>
          </cell>
        </row>
      </sheetData>
      <sheetData sheetId="1" refreshError="1"/>
      <sheetData sheetId="2" refreshError="1"/>
      <sheetData sheetId="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5AB98-80B4-47D5-8ABB-E0BA938354B9}" name="Table1" displayName="Table1" ref="B4:G11" totalsRowShown="0" headerRowDxfId="19" dataDxfId="18">
  <autoFilter ref="B4:G11" xr:uid="{91071B6F-CF10-47B9-BE34-5BA8D31BDCA8}"/>
  <sortState xmlns:xlrd2="http://schemas.microsoft.com/office/spreadsheetml/2017/richdata2" ref="B5:G11">
    <sortCondition descending="1" ref="C4:C11"/>
  </sortState>
  <tableColumns count="6">
    <tableColumn id="1" xr3:uid="{8D52CB95-38F3-4FE7-9009-7AC6EF2EE5CF}" name="Risco" dataDxfId="17"/>
    <tableColumn id="2" xr3:uid="{32FB5AF4-27C3-4F01-8E47-D25BEB490826}" name="Grau de Impacto" dataDxfId="16"/>
    <tableColumn id="3" xr3:uid="{62E99B7D-20AF-4631-A714-B703B94F7F71}" name="Grau de Probabilidade" dataDxfId="15"/>
    <tableColumn id="4" xr3:uid="{A7660C92-FB3C-422C-A058-506B15C34D1A}" name="Consequências" dataDxfId="14"/>
    <tableColumn id="5" xr3:uid="{BD45F0D3-A83C-46A1-B7B6-E35C11F9A8BD}" name="Recursos Afetados " dataDxfId="13"/>
    <tableColumn id="6" xr3:uid="{9BFDFB35-E276-49AB-83AE-156D149A18D5}" name="Estratégia de Ação" dataDxfId="1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2BA1F-6019-4F38-8DB8-E7A878F37D87}">
  <dimension ref="B2:B3"/>
  <sheetViews>
    <sheetView tabSelected="1" workbookViewId="0">
      <selection activeCell="C9" sqref="C9"/>
    </sheetView>
  </sheetViews>
  <sheetFormatPr defaultRowHeight="14.4" x14ac:dyDescent="0.3"/>
  <cols>
    <col min="2" max="2" width="15.21875" customWidth="1"/>
  </cols>
  <sheetData>
    <row r="2" spans="2:2" x14ac:dyDescent="0.3">
      <c r="B2" t="s">
        <v>0</v>
      </c>
    </row>
    <row r="3" spans="2:2" x14ac:dyDescent="0.3">
      <c r="B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13791-FC73-4EB4-921D-87F49D6BBE25}">
  <dimension ref="B3:J11"/>
  <sheetViews>
    <sheetView topLeftCell="A3" zoomScale="80" zoomScaleNormal="80" workbookViewId="0">
      <selection activeCell="C5" sqref="C5"/>
    </sheetView>
  </sheetViews>
  <sheetFormatPr defaultRowHeight="14.4" x14ac:dyDescent="0.3"/>
  <cols>
    <col min="2" max="2" width="19.33203125" customWidth="1"/>
    <col min="3" max="3" width="17.6640625" style="7" customWidth="1"/>
    <col min="4" max="4" width="22.5546875" style="7" customWidth="1"/>
    <col min="5" max="5" width="28" style="8" customWidth="1"/>
    <col min="6" max="6" width="19" style="9" customWidth="1"/>
    <col min="7" max="7" width="34.6640625" style="8" customWidth="1"/>
    <col min="9" max="9" width="8.88671875" style="2" customWidth="1"/>
    <col min="10" max="10" width="11.5546875" customWidth="1"/>
  </cols>
  <sheetData>
    <row r="3" spans="2:10" ht="20.399999999999999" thickBot="1" x14ac:dyDescent="0.45">
      <c r="B3" s="1" t="s">
        <v>2</v>
      </c>
      <c r="C3" s="1"/>
      <c r="D3" s="1"/>
      <c r="E3" s="1"/>
      <c r="F3" s="1"/>
      <c r="G3" s="1"/>
    </row>
    <row r="4" spans="2:10" ht="18.75" customHeight="1" thickTop="1" x14ac:dyDescent="0.3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I4" s="3"/>
    </row>
    <row r="5" spans="2:10" s="4" customFormat="1" ht="63" customHeight="1" x14ac:dyDescent="0.3">
      <c r="B5" s="5" t="s">
        <v>9</v>
      </c>
      <c r="C5" s="6">
        <v>5</v>
      </c>
      <c r="D5" s="6">
        <v>4</v>
      </c>
      <c r="E5" s="6" t="s">
        <v>10</v>
      </c>
      <c r="F5" s="6" t="s">
        <v>11</v>
      </c>
      <c r="G5" s="6" t="s">
        <v>12</v>
      </c>
      <c r="I5" s="2"/>
    </row>
    <row r="6" spans="2:10" s="4" customFormat="1" ht="48.75" customHeight="1" x14ac:dyDescent="0.3">
      <c r="B6" s="5" t="s">
        <v>13</v>
      </c>
      <c r="C6" s="6">
        <v>5</v>
      </c>
      <c r="D6" s="6">
        <v>2</v>
      </c>
      <c r="E6" s="6" t="s">
        <v>14</v>
      </c>
      <c r="F6" s="6" t="s">
        <v>15</v>
      </c>
      <c r="G6" s="6" t="s">
        <v>16</v>
      </c>
      <c r="I6" s="2"/>
    </row>
    <row r="7" spans="2:10" s="4" customFormat="1" ht="66" customHeight="1" x14ac:dyDescent="0.3">
      <c r="B7" s="5" t="s">
        <v>17</v>
      </c>
      <c r="C7" s="6">
        <v>5</v>
      </c>
      <c r="D7" s="6">
        <v>2</v>
      </c>
      <c r="E7" s="6" t="s">
        <v>18</v>
      </c>
      <c r="F7" s="6" t="s">
        <v>19</v>
      </c>
      <c r="G7" s="6" t="s">
        <v>20</v>
      </c>
      <c r="I7" s="2"/>
    </row>
    <row r="8" spans="2:10" s="4" customFormat="1" ht="72" x14ac:dyDescent="0.3">
      <c r="B8" s="5" t="s">
        <v>21</v>
      </c>
      <c r="C8" s="6">
        <v>4</v>
      </c>
      <c r="D8" s="6">
        <v>1</v>
      </c>
      <c r="E8" s="6" t="s">
        <v>22</v>
      </c>
      <c r="F8" s="6" t="s">
        <v>11</v>
      </c>
      <c r="G8" s="6" t="s">
        <v>23</v>
      </c>
      <c r="I8" s="2"/>
    </row>
    <row r="9" spans="2:10" s="4" customFormat="1" ht="76.2" customHeight="1" x14ac:dyDescent="0.3">
      <c r="B9" s="5" t="s">
        <v>24</v>
      </c>
      <c r="C9" s="6">
        <v>3</v>
      </c>
      <c r="D9" s="6">
        <v>3</v>
      </c>
      <c r="E9" s="6" t="s">
        <v>25</v>
      </c>
      <c r="F9" s="6" t="s">
        <v>26</v>
      </c>
      <c r="G9" s="6" t="s">
        <v>27</v>
      </c>
      <c r="I9" s="2"/>
    </row>
    <row r="10" spans="2:10" s="4" customFormat="1" ht="28.8" x14ac:dyDescent="0.3">
      <c r="B10" s="5" t="s">
        <v>28</v>
      </c>
      <c r="C10" s="6">
        <v>3</v>
      </c>
      <c r="D10" s="6">
        <v>2</v>
      </c>
      <c r="E10" s="6" t="s">
        <v>29</v>
      </c>
      <c r="F10" s="6" t="s">
        <v>26</v>
      </c>
      <c r="G10" s="6" t="s">
        <v>30</v>
      </c>
      <c r="H10"/>
      <c r="I10"/>
      <c r="J10"/>
    </row>
    <row r="11" spans="2:10" s="4" customFormat="1" ht="69.599999999999994" customHeight="1" x14ac:dyDescent="0.3">
      <c r="B11" s="5" t="s">
        <v>31</v>
      </c>
      <c r="C11" s="6">
        <v>3</v>
      </c>
      <c r="D11" s="6">
        <v>2</v>
      </c>
      <c r="E11" s="6" t="s">
        <v>32</v>
      </c>
      <c r="F11" s="6" t="s">
        <v>11</v>
      </c>
      <c r="G11" s="6" t="s">
        <v>33</v>
      </c>
      <c r="H11"/>
      <c r="I11"/>
      <c r="J11"/>
    </row>
  </sheetData>
  <mergeCells count="1">
    <mergeCell ref="B3:G3"/>
  </mergeCells>
  <conditionalFormatting sqref="B5:G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I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C198-B1EE-4A77-B085-0848BA011185}">
  <dimension ref="B1:T15"/>
  <sheetViews>
    <sheetView zoomScale="85" zoomScaleNormal="85" workbookViewId="0">
      <selection activeCell="D6" sqref="D6"/>
    </sheetView>
  </sheetViews>
  <sheetFormatPr defaultRowHeight="14.4" x14ac:dyDescent="0.3"/>
  <cols>
    <col min="2" max="2" width="4.33203125" customWidth="1"/>
    <col min="3" max="3" width="26.5546875" customWidth="1"/>
    <col min="4" max="4" width="75.6640625" customWidth="1"/>
    <col min="5" max="5" width="11.88671875" customWidth="1"/>
    <col min="6" max="6" width="18.33203125" customWidth="1"/>
    <col min="7" max="7" width="16.88671875" bestFit="1" customWidth="1"/>
    <col min="8" max="8" width="4.33203125" customWidth="1"/>
    <col min="10" max="10" width="0" hidden="1" customWidth="1"/>
    <col min="11" max="11" width="10.6640625" hidden="1" customWidth="1"/>
    <col min="12" max="12" width="9.6640625" hidden="1" customWidth="1"/>
    <col min="13" max="13" width="13.33203125" hidden="1" customWidth="1"/>
    <col min="14" max="14" width="123.6640625" hidden="1" customWidth="1"/>
    <col min="17" max="17" width="11.5546875" bestFit="1" customWidth="1"/>
    <col min="18" max="18" width="9.6640625" bestFit="1" customWidth="1"/>
    <col min="19" max="19" width="13.33203125" bestFit="1" customWidth="1"/>
    <col min="20" max="20" width="128.6640625" bestFit="1" customWidth="1"/>
  </cols>
  <sheetData>
    <row r="1" spans="2:20" ht="15" thickBot="1" x14ac:dyDescent="0.35"/>
    <row r="2" spans="2:20" ht="36.6" x14ac:dyDescent="0.7">
      <c r="B2" s="10"/>
      <c r="C2" s="11" t="s">
        <v>34</v>
      </c>
      <c r="D2" s="11"/>
      <c r="E2" s="11"/>
      <c r="F2" s="11"/>
      <c r="G2" s="11"/>
      <c r="H2" s="12"/>
    </row>
    <row r="3" spans="2:20" ht="15" thickBot="1" x14ac:dyDescent="0.35">
      <c r="B3" s="13"/>
      <c r="C3" s="14"/>
      <c r="D3" s="14"/>
      <c r="E3" s="14"/>
      <c r="F3" s="14"/>
      <c r="G3" s="14"/>
      <c r="H3" s="15"/>
    </row>
    <row r="4" spans="2:20" s="23" customFormat="1" ht="21" customHeight="1" x14ac:dyDescent="0.3">
      <c r="B4" s="16"/>
      <c r="C4" s="17" t="s">
        <v>35</v>
      </c>
      <c r="D4" s="18" t="s">
        <v>36</v>
      </c>
      <c r="E4" s="19" t="s">
        <v>37</v>
      </c>
      <c r="F4" s="20"/>
      <c r="G4" s="21"/>
      <c r="H4" s="22"/>
    </row>
    <row r="5" spans="2:20" s="23" customFormat="1" ht="42" customHeight="1" thickBot="1" x14ac:dyDescent="0.35">
      <c r="B5" s="16"/>
      <c r="C5" s="24"/>
      <c r="D5" s="25"/>
      <c r="E5" s="26" t="s">
        <v>38</v>
      </c>
      <c r="F5" s="27" t="s">
        <v>39</v>
      </c>
      <c r="G5" s="28" t="s">
        <v>40</v>
      </c>
      <c r="H5" s="22"/>
    </row>
    <row r="6" spans="2:20" ht="47.4" thickBot="1" x14ac:dyDescent="0.35">
      <c r="B6" s="13"/>
      <c r="C6" s="29" t="s">
        <v>41</v>
      </c>
      <c r="D6" s="66" t="s">
        <v>78</v>
      </c>
      <c r="E6" s="30" t="s">
        <v>46</v>
      </c>
      <c r="F6" s="31"/>
      <c r="G6" s="32"/>
      <c r="H6" s="15"/>
      <c r="K6" s="33" t="s">
        <v>38</v>
      </c>
      <c r="L6" s="33" t="s">
        <v>43</v>
      </c>
      <c r="M6" s="33" t="s">
        <v>44</v>
      </c>
      <c r="Q6" s="34" t="s">
        <v>38</v>
      </c>
      <c r="R6" s="34" t="s">
        <v>43</v>
      </c>
      <c r="S6" s="34" t="s">
        <v>44</v>
      </c>
    </row>
    <row r="7" spans="2:20" ht="47.4" thickBot="1" x14ac:dyDescent="0.35">
      <c r="B7" s="13"/>
      <c r="C7" s="35" t="s">
        <v>45</v>
      </c>
      <c r="D7" s="67" t="s">
        <v>79</v>
      </c>
      <c r="E7" s="30" t="s">
        <v>46</v>
      </c>
      <c r="F7" s="36"/>
      <c r="G7" s="37"/>
      <c r="H7" s="15"/>
      <c r="K7" s="38" t="s">
        <v>46</v>
      </c>
      <c r="L7" s="39" t="s">
        <v>47</v>
      </c>
      <c r="M7" s="39" t="s">
        <v>48</v>
      </c>
      <c r="N7" s="40" t="s">
        <v>49</v>
      </c>
      <c r="Q7" s="41" t="s">
        <v>46</v>
      </c>
      <c r="R7" s="42" t="s">
        <v>47</v>
      </c>
      <c r="S7" s="42" t="s">
        <v>48</v>
      </c>
      <c r="T7" s="40" t="s">
        <v>49</v>
      </c>
    </row>
    <row r="8" spans="2:20" ht="47.4" thickBot="1" x14ac:dyDescent="0.35">
      <c r="B8" s="13"/>
      <c r="C8" s="35" t="s">
        <v>50</v>
      </c>
      <c r="D8" s="67" t="s">
        <v>80</v>
      </c>
      <c r="E8" s="30" t="s">
        <v>46</v>
      </c>
      <c r="F8" s="36"/>
      <c r="G8" s="37"/>
      <c r="H8" s="15"/>
      <c r="K8" s="43" t="s">
        <v>51</v>
      </c>
      <c r="L8" s="44" t="s">
        <v>52</v>
      </c>
      <c r="M8" s="44" t="s">
        <v>53</v>
      </c>
      <c r="N8" s="40" t="s">
        <v>54</v>
      </c>
      <c r="Q8" s="45" t="s">
        <v>51</v>
      </c>
      <c r="R8" s="46" t="s">
        <v>52</v>
      </c>
      <c r="S8" s="46" t="s">
        <v>53</v>
      </c>
      <c r="T8" s="40" t="s">
        <v>54</v>
      </c>
    </row>
    <row r="9" spans="2:20" ht="47.4" thickBot="1" x14ac:dyDescent="0.35">
      <c r="B9" s="13"/>
      <c r="C9" s="35" t="s">
        <v>55</v>
      </c>
      <c r="D9" s="67" t="s">
        <v>81</v>
      </c>
      <c r="E9" s="30" t="s">
        <v>46</v>
      </c>
      <c r="F9" s="36"/>
      <c r="G9" s="37"/>
      <c r="H9" s="15"/>
      <c r="K9" s="47" t="s">
        <v>56</v>
      </c>
      <c r="L9" s="44" t="s">
        <v>57</v>
      </c>
      <c r="M9" s="44" t="s">
        <v>58</v>
      </c>
      <c r="N9" s="40" t="s">
        <v>59</v>
      </c>
      <c r="Q9" s="48" t="s">
        <v>56</v>
      </c>
      <c r="R9" s="46" t="s">
        <v>57</v>
      </c>
      <c r="S9" s="46" t="s">
        <v>58</v>
      </c>
      <c r="T9" s="40" t="s">
        <v>59</v>
      </c>
    </row>
    <row r="10" spans="2:20" ht="47.4" thickBot="1" x14ac:dyDescent="0.35">
      <c r="B10" s="13"/>
      <c r="C10" s="35" t="s">
        <v>60</v>
      </c>
      <c r="D10" s="67" t="s">
        <v>82</v>
      </c>
      <c r="E10" s="30" t="s">
        <v>46</v>
      </c>
      <c r="F10" s="36"/>
      <c r="G10" s="37"/>
      <c r="H10" s="15"/>
      <c r="K10" s="49" t="s">
        <v>61</v>
      </c>
      <c r="L10" s="44" t="s">
        <v>62</v>
      </c>
      <c r="M10" s="44" t="s">
        <v>63</v>
      </c>
      <c r="N10" s="40" t="s">
        <v>64</v>
      </c>
      <c r="Q10" s="50" t="s">
        <v>61</v>
      </c>
      <c r="R10" s="46" t="s">
        <v>62</v>
      </c>
      <c r="S10" s="46" t="s">
        <v>63</v>
      </c>
      <c r="T10" s="40" t="s">
        <v>64</v>
      </c>
    </row>
    <row r="11" spans="2:20" ht="63" thickBot="1" x14ac:dyDescent="0.35">
      <c r="B11" s="13"/>
      <c r="C11" s="35" t="s">
        <v>65</v>
      </c>
      <c r="D11" s="67" t="s">
        <v>83</v>
      </c>
      <c r="E11" s="30" t="s">
        <v>46</v>
      </c>
      <c r="F11" s="51"/>
      <c r="G11" s="52"/>
      <c r="H11" s="15"/>
      <c r="K11" s="53" t="s">
        <v>42</v>
      </c>
      <c r="L11" s="54" t="s">
        <v>66</v>
      </c>
      <c r="Q11" s="55" t="s">
        <v>42</v>
      </c>
      <c r="R11" s="56" t="s">
        <v>66</v>
      </c>
      <c r="S11" s="2"/>
    </row>
    <row r="12" spans="2:20" ht="47.4" thickBot="1" x14ac:dyDescent="0.35">
      <c r="B12" s="13"/>
      <c r="C12" s="35" t="s">
        <v>67</v>
      </c>
      <c r="D12" s="67" t="s">
        <v>84</v>
      </c>
      <c r="E12" s="30" t="s">
        <v>46</v>
      </c>
      <c r="F12" s="51"/>
      <c r="G12" s="52"/>
      <c r="H12" s="15"/>
    </row>
    <row r="13" spans="2:20" ht="63" thickBot="1" x14ac:dyDescent="0.35">
      <c r="B13" s="13"/>
      <c r="C13" s="35" t="s">
        <v>68</v>
      </c>
      <c r="D13" s="67" t="s">
        <v>85</v>
      </c>
      <c r="E13" s="30" t="s">
        <v>46</v>
      </c>
      <c r="F13" s="51"/>
      <c r="G13" s="52"/>
      <c r="H13" s="15"/>
    </row>
    <row r="14" spans="2:20" ht="46.8" x14ac:dyDescent="0.3">
      <c r="B14" s="13"/>
      <c r="C14" s="35" t="s">
        <v>69</v>
      </c>
      <c r="D14" s="68" t="s">
        <v>86</v>
      </c>
      <c r="E14" s="30" t="s">
        <v>46</v>
      </c>
      <c r="F14" s="51"/>
      <c r="G14" s="52"/>
      <c r="H14" s="15"/>
    </row>
    <row r="15" spans="2:20" ht="30" customHeight="1" thickBot="1" x14ac:dyDescent="0.35">
      <c r="B15" s="57"/>
      <c r="C15" s="58"/>
      <c r="D15" s="58"/>
      <c r="E15" s="58"/>
      <c r="F15" s="58"/>
      <c r="G15" s="58"/>
      <c r="H15" s="59"/>
    </row>
  </sheetData>
  <mergeCells count="1">
    <mergeCell ref="E4:G4"/>
  </mergeCells>
  <conditionalFormatting sqref="E6:E14">
    <cfRule type="cellIs" dxfId="11" priority="5" operator="equal">
      <formula>$K$10</formula>
    </cfRule>
    <cfRule type="cellIs" dxfId="10" priority="6" operator="equal">
      <formula>$K$9</formula>
    </cfRule>
    <cfRule type="cellIs" dxfId="9" priority="7" operator="equal">
      <formula>$K$8</formula>
    </cfRule>
    <cfRule type="cellIs" dxfId="8" priority="8" operator="equal">
      <formula>$K$11</formula>
    </cfRule>
  </conditionalFormatting>
  <conditionalFormatting sqref="K9:K11">
    <cfRule type="cellIs" dxfId="7" priority="9" operator="equal">
      <formula>"Passed"</formula>
    </cfRule>
    <cfRule type="cellIs" dxfId="6" priority="10" operator="equal">
      <formula>"In Progress"</formula>
    </cfRule>
    <cfRule type="cellIs" dxfId="5" priority="11" operator="equal">
      <formula>"Failed"</formula>
    </cfRule>
    <cfRule type="cellIs" dxfId="4" priority="12" operator="equal">
      <formula>"Blocked"</formula>
    </cfRule>
  </conditionalFormatting>
  <conditionalFormatting sqref="Q9:Q11">
    <cfRule type="cellIs" dxfId="3" priority="1" operator="equal">
      <formula>"Passed"</formula>
    </cfRule>
    <cfRule type="cellIs" dxfId="2" priority="2" operator="equal">
      <formula>"In Progress"</formula>
    </cfRule>
    <cfRule type="cellIs" dxfId="1" priority="3" operator="equal">
      <formula>"Failed"</formula>
    </cfRule>
    <cfRule type="cellIs" dxfId="0" priority="4" operator="equal">
      <formula>"Blocked"</formula>
    </cfRule>
  </conditionalFormatting>
  <dataValidations count="3">
    <dataValidation type="list" allowBlank="1" showErrorMessage="1" sqref="E6:E14" xr:uid="{2936272A-7099-438C-9F4F-B0B9AF9EBF24}">
      <formula1>$K$7:$K$11</formula1>
    </dataValidation>
    <dataValidation type="list" allowBlank="1" showInputMessage="1" showErrorMessage="1" sqref="F6:F14" xr:uid="{2DBEC509-4C73-4002-A00D-B2EC904DB801}">
      <formula1>$L$7:$L$11</formula1>
    </dataValidation>
    <dataValidation type="list" allowBlank="1" showInputMessage="1" showErrorMessage="1" sqref="G6:G14" xr:uid="{668AAAFF-57E1-406F-88D4-14B102E5C8ED}">
      <formula1>$M$7:$M$10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AECB-F8B7-4B06-AC7C-54A294647C38}">
  <sheetPr>
    <tabColor rgb="FF00B050"/>
  </sheetPr>
  <dimension ref="B6:V15"/>
  <sheetViews>
    <sheetView showGridLines="0" zoomScaleNormal="100" workbookViewId="0">
      <selection activeCell="D18" sqref="D18"/>
    </sheetView>
  </sheetViews>
  <sheetFormatPr defaultColWidth="8.6640625" defaultRowHeight="14.4" x14ac:dyDescent="0.3"/>
  <cols>
    <col min="1" max="1" width="4.109375" style="62" customWidth="1"/>
    <col min="2" max="2" width="15.33203125" style="62" customWidth="1"/>
    <col min="3" max="4" width="8.6640625" style="62"/>
    <col min="5" max="5" width="16" style="62" customWidth="1"/>
    <col min="6" max="6" width="12.88671875" style="62" customWidth="1"/>
    <col min="7" max="7" width="10.88671875" style="62" customWidth="1"/>
    <col min="8" max="16" width="8.6640625" style="62"/>
    <col min="17" max="17" width="9.33203125" style="62" customWidth="1"/>
    <col min="18" max="16384" width="8.6640625" style="62"/>
  </cols>
  <sheetData>
    <row r="6" spans="2:22" ht="23.4" x14ac:dyDescent="0.45">
      <c r="B6" s="60" t="s">
        <v>70</v>
      </c>
      <c r="C6" s="60"/>
      <c r="D6" s="60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1"/>
      <c r="T6" s="61"/>
      <c r="U6" s="61"/>
      <c r="V6" s="61"/>
    </row>
    <row r="8" spans="2:22" x14ac:dyDescent="0.3">
      <c r="B8" s="63" t="s">
        <v>76</v>
      </c>
      <c r="C8" s="63" t="s">
        <v>71</v>
      </c>
      <c r="D8" s="63" t="s">
        <v>72</v>
      </c>
      <c r="E8" s="63" t="s">
        <v>73</v>
      </c>
      <c r="F8" s="63" t="s">
        <v>74</v>
      </c>
      <c r="G8" s="63" t="s">
        <v>75</v>
      </c>
    </row>
    <row r="9" spans="2:22" x14ac:dyDescent="0.3">
      <c r="B9" s="64">
        <v>6</v>
      </c>
      <c r="C9" s="64">
        <f>1</f>
        <v>1</v>
      </c>
      <c r="D9" s="64">
        <v>2</v>
      </c>
      <c r="E9" s="64">
        <v>0</v>
      </c>
      <c r="F9" s="65">
        <v>12</v>
      </c>
      <c r="G9" s="65">
        <v>12</v>
      </c>
    </row>
    <row r="10" spans="2:22" x14ac:dyDescent="0.3">
      <c r="B10" s="64">
        <v>7</v>
      </c>
      <c r="C10" s="64">
        <v>2</v>
      </c>
      <c r="D10" s="64">
        <v>2</v>
      </c>
      <c r="E10" s="64">
        <v>0</v>
      </c>
      <c r="F10" s="65">
        <f>F9-D10</f>
        <v>10</v>
      </c>
      <c r="G10" s="65">
        <f>G9-E10</f>
        <v>12</v>
      </c>
    </row>
    <row r="11" spans="2:22" x14ac:dyDescent="0.3">
      <c r="B11" s="64">
        <v>8</v>
      </c>
      <c r="C11" s="64">
        <v>3</v>
      </c>
      <c r="D11" s="64">
        <v>2</v>
      </c>
      <c r="E11" s="64">
        <v>0</v>
      </c>
      <c r="F11" s="65">
        <f t="shared" ref="F11:G15" si="0">F10-D11</f>
        <v>8</v>
      </c>
      <c r="G11" s="65">
        <f t="shared" si="0"/>
        <v>12</v>
      </c>
    </row>
    <row r="12" spans="2:22" x14ac:dyDescent="0.3">
      <c r="B12" s="64">
        <v>9</v>
      </c>
      <c r="C12" s="64">
        <v>4</v>
      </c>
      <c r="D12" s="64">
        <v>2</v>
      </c>
      <c r="E12" s="64">
        <v>0</v>
      </c>
      <c r="F12" s="65">
        <f t="shared" si="0"/>
        <v>6</v>
      </c>
      <c r="G12" s="65">
        <f t="shared" si="0"/>
        <v>12</v>
      </c>
    </row>
    <row r="13" spans="2:22" x14ac:dyDescent="0.3">
      <c r="B13" s="64">
        <v>10</v>
      </c>
      <c r="C13" s="64">
        <v>5</v>
      </c>
      <c r="D13" s="64">
        <v>2</v>
      </c>
      <c r="E13" s="64">
        <v>0</v>
      </c>
      <c r="F13" s="65">
        <f t="shared" si="0"/>
        <v>4</v>
      </c>
      <c r="G13" s="65">
        <f t="shared" si="0"/>
        <v>12</v>
      </c>
    </row>
    <row r="14" spans="2:22" x14ac:dyDescent="0.3">
      <c r="B14" s="64">
        <v>11</v>
      </c>
      <c r="C14" s="64">
        <v>6</v>
      </c>
      <c r="D14" s="64">
        <v>2</v>
      </c>
      <c r="E14" s="64">
        <v>0</v>
      </c>
      <c r="F14" s="65">
        <f t="shared" si="0"/>
        <v>2</v>
      </c>
      <c r="G14" s="65">
        <f t="shared" si="0"/>
        <v>12</v>
      </c>
    </row>
    <row r="15" spans="2:22" x14ac:dyDescent="0.3">
      <c r="B15" s="64">
        <v>12</v>
      </c>
      <c r="C15" s="64">
        <v>7</v>
      </c>
      <c r="D15" s="64">
        <v>2</v>
      </c>
      <c r="E15" s="64">
        <v>0</v>
      </c>
      <c r="F15" s="65">
        <f t="shared" si="0"/>
        <v>0</v>
      </c>
      <c r="G15" s="65">
        <f t="shared" si="0"/>
        <v>12</v>
      </c>
    </row>
  </sheetData>
  <mergeCells count="1">
    <mergeCell ref="B6:R6"/>
  </mergeCells>
  <pageMargins left="0.59055118110236227" right="0.98425196850393704" top="1.7716535433070868" bottom="0.98425196850393704" header="0.51181102362204722" footer="0.51181102362204722"/>
  <pageSetup paperSize="8" firstPageNumber="0" orientation="landscape" horizontalDpi="300" verticalDpi="30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FEE2E-429A-4384-AA2E-AD3649DF5000}">
  <sheetPr>
    <tabColor rgb="FF00B050"/>
  </sheetPr>
  <dimension ref="B6:V15"/>
  <sheetViews>
    <sheetView showGridLines="0" zoomScaleNormal="100" workbookViewId="0">
      <selection activeCell="B9" sqref="B9:B15"/>
    </sheetView>
  </sheetViews>
  <sheetFormatPr defaultColWidth="8.6640625" defaultRowHeight="14.4" x14ac:dyDescent="0.3"/>
  <cols>
    <col min="1" max="1" width="4.109375" style="62" customWidth="1"/>
    <col min="2" max="2" width="15.33203125" style="62" customWidth="1"/>
    <col min="3" max="4" width="8.6640625" style="62"/>
    <col min="5" max="5" width="16" style="62" customWidth="1"/>
    <col min="6" max="6" width="12.88671875" style="62" customWidth="1"/>
    <col min="7" max="7" width="10.88671875" style="62" customWidth="1"/>
    <col min="8" max="16" width="8.6640625" style="62"/>
    <col min="17" max="17" width="9.33203125" style="62" customWidth="1"/>
    <col min="18" max="16384" width="8.6640625" style="62"/>
  </cols>
  <sheetData>
    <row r="6" spans="2:22" ht="23.4" x14ac:dyDescent="0.45">
      <c r="B6" s="60" t="s">
        <v>70</v>
      </c>
      <c r="C6" s="60"/>
      <c r="D6" s="60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1"/>
      <c r="T6" s="61"/>
      <c r="U6" s="61"/>
      <c r="V6" s="61"/>
    </row>
    <row r="8" spans="2:22" x14ac:dyDescent="0.3">
      <c r="B8" s="63" t="s">
        <v>76</v>
      </c>
      <c r="C8" s="63" t="s">
        <v>71</v>
      </c>
      <c r="D8" s="63" t="s">
        <v>72</v>
      </c>
      <c r="E8" s="63" t="s">
        <v>73</v>
      </c>
      <c r="F8" s="63" t="s">
        <v>74</v>
      </c>
      <c r="G8" s="63" t="s">
        <v>75</v>
      </c>
    </row>
    <row r="9" spans="2:22" x14ac:dyDescent="0.3">
      <c r="B9" s="64">
        <v>13</v>
      </c>
      <c r="C9" s="64">
        <f>1</f>
        <v>1</v>
      </c>
      <c r="D9" s="64">
        <v>2</v>
      </c>
      <c r="E9" s="64">
        <v>0</v>
      </c>
      <c r="F9" s="65">
        <v>12</v>
      </c>
      <c r="G9" s="65">
        <v>12</v>
      </c>
    </row>
    <row r="10" spans="2:22" x14ac:dyDescent="0.3">
      <c r="B10" s="64">
        <v>14</v>
      </c>
      <c r="C10" s="64">
        <v>2</v>
      </c>
      <c r="D10" s="64">
        <v>2</v>
      </c>
      <c r="E10" s="64">
        <v>0</v>
      </c>
      <c r="F10" s="65">
        <f>F9-D10</f>
        <v>10</v>
      </c>
      <c r="G10" s="65">
        <f>G9-E10</f>
        <v>12</v>
      </c>
    </row>
    <row r="11" spans="2:22" x14ac:dyDescent="0.3">
      <c r="B11" s="64">
        <v>15</v>
      </c>
      <c r="C11" s="64">
        <v>3</v>
      </c>
      <c r="D11" s="64">
        <v>2</v>
      </c>
      <c r="E11" s="64">
        <v>0</v>
      </c>
      <c r="F11" s="65">
        <f t="shared" ref="F11:G15" si="0">F10-D11</f>
        <v>8</v>
      </c>
      <c r="G11" s="65">
        <f t="shared" si="0"/>
        <v>12</v>
      </c>
    </row>
    <row r="12" spans="2:22" x14ac:dyDescent="0.3">
      <c r="B12" s="64">
        <v>16</v>
      </c>
      <c r="C12" s="64">
        <v>4</v>
      </c>
      <c r="D12" s="64">
        <v>2</v>
      </c>
      <c r="E12" s="64">
        <v>0</v>
      </c>
      <c r="F12" s="65">
        <f t="shared" si="0"/>
        <v>6</v>
      </c>
      <c r="G12" s="65">
        <f t="shared" si="0"/>
        <v>12</v>
      </c>
    </row>
    <row r="13" spans="2:22" x14ac:dyDescent="0.3">
      <c r="B13" s="64">
        <v>17</v>
      </c>
      <c r="C13" s="64">
        <v>5</v>
      </c>
      <c r="D13" s="64">
        <v>2</v>
      </c>
      <c r="E13" s="64">
        <v>0</v>
      </c>
      <c r="F13" s="65">
        <f t="shared" si="0"/>
        <v>4</v>
      </c>
      <c r="G13" s="65">
        <f t="shared" si="0"/>
        <v>12</v>
      </c>
    </row>
    <row r="14" spans="2:22" x14ac:dyDescent="0.3">
      <c r="B14" s="64">
        <v>18</v>
      </c>
      <c r="C14" s="64">
        <v>6</v>
      </c>
      <c r="D14" s="64">
        <v>2</v>
      </c>
      <c r="E14" s="64">
        <v>0</v>
      </c>
      <c r="F14" s="65">
        <f t="shared" si="0"/>
        <v>2</v>
      </c>
      <c r="G14" s="65">
        <f t="shared" si="0"/>
        <v>12</v>
      </c>
    </row>
    <row r="15" spans="2:22" x14ac:dyDescent="0.3">
      <c r="B15" s="64">
        <v>19</v>
      </c>
      <c r="C15" s="64">
        <v>7</v>
      </c>
      <c r="D15" s="64">
        <v>2</v>
      </c>
      <c r="E15" s="64">
        <v>0</v>
      </c>
      <c r="F15" s="65">
        <f t="shared" si="0"/>
        <v>0</v>
      </c>
      <c r="G15" s="65">
        <f t="shared" si="0"/>
        <v>12</v>
      </c>
    </row>
  </sheetData>
  <mergeCells count="1">
    <mergeCell ref="B6:R6"/>
  </mergeCells>
  <pageMargins left="0.59055118110236227" right="0.98425196850393704" top="1.7716535433070868" bottom="0.98425196850393704" header="0.51181102362204722" footer="0.51181102362204722"/>
  <pageSetup paperSize="8" firstPageNumber="0" orientation="landscape" horizontalDpi="300" verticalDpi="30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675F-30BC-4357-8001-5C141349E35A}">
  <sheetPr>
    <tabColor rgb="FF00B050"/>
  </sheetPr>
  <dimension ref="B6:V15"/>
  <sheetViews>
    <sheetView showGridLines="0" zoomScaleNormal="100" workbookViewId="0">
      <selection activeCell="B9" sqref="B9:B15"/>
    </sheetView>
  </sheetViews>
  <sheetFormatPr defaultColWidth="8.6640625" defaultRowHeight="14.4" x14ac:dyDescent="0.3"/>
  <cols>
    <col min="1" max="1" width="4.109375" style="62" customWidth="1"/>
    <col min="2" max="2" width="15.33203125" style="62" customWidth="1"/>
    <col min="3" max="4" width="8.6640625" style="62"/>
    <col min="5" max="5" width="16" style="62" customWidth="1"/>
    <col min="6" max="6" width="12.88671875" style="62" customWidth="1"/>
    <col min="7" max="7" width="10.88671875" style="62" customWidth="1"/>
    <col min="8" max="16" width="8.6640625" style="62"/>
    <col min="17" max="17" width="9.33203125" style="62" customWidth="1"/>
    <col min="18" max="16384" width="8.6640625" style="62"/>
  </cols>
  <sheetData>
    <row r="6" spans="2:22" ht="23.4" x14ac:dyDescent="0.45">
      <c r="B6" s="60" t="s">
        <v>70</v>
      </c>
      <c r="C6" s="60"/>
      <c r="D6" s="60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1"/>
      <c r="T6" s="61"/>
      <c r="U6" s="61"/>
      <c r="V6" s="61"/>
    </row>
    <row r="8" spans="2:22" x14ac:dyDescent="0.3">
      <c r="B8" s="63" t="s">
        <v>76</v>
      </c>
      <c r="C8" s="63" t="s">
        <v>71</v>
      </c>
      <c r="D8" s="63" t="s">
        <v>72</v>
      </c>
      <c r="E8" s="63" t="s">
        <v>73</v>
      </c>
      <c r="F8" s="63" t="s">
        <v>74</v>
      </c>
      <c r="G8" s="63" t="s">
        <v>75</v>
      </c>
    </row>
    <row r="9" spans="2:22" x14ac:dyDescent="0.3">
      <c r="B9" s="64">
        <v>20</v>
      </c>
      <c r="C9" s="64">
        <f>1</f>
        <v>1</v>
      </c>
      <c r="D9" s="64">
        <v>2</v>
      </c>
      <c r="E9" s="64">
        <v>0</v>
      </c>
      <c r="F9" s="65">
        <v>12</v>
      </c>
      <c r="G9" s="65">
        <v>12</v>
      </c>
    </row>
    <row r="10" spans="2:22" x14ac:dyDescent="0.3">
      <c r="B10" s="64">
        <v>21</v>
      </c>
      <c r="C10" s="64">
        <v>2</v>
      </c>
      <c r="D10" s="64">
        <v>2</v>
      </c>
      <c r="E10" s="64">
        <v>0</v>
      </c>
      <c r="F10" s="65">
        <f>F9-D10</f>
        <v>10</v>
      </c>
      <c r="G10" s="65">
        <f>G9-E10</f>
        <v>12</v>
      </c>
    </row>
    <row r="11" spans="2:22" x14ac:dyDescent="0.3">
      <c r="B11" s="64">
        <v>22</v>
      </c>
      <c r="C11" s="64">
        <v>3</v>
      </c>
      <c r="D11" s="64">
        <v>2</v>
      </c>
      <c r="E11" s="64">
        <v>0</v>
      </c>
      <c r="F11" s="65">
        <f t="shared" ref="F11:G15" si="0">F10-D11</f>
        <v>8</v>
      </c>
      <c r="G11" s="65">
        <f t="shared" si="0"/>
        <v>12</v>
      </c>
    </row>
    <row r="12" spans="2:22" x14ac:dyDescent="0.3">
      <c r="B12" s="64">
        <v>23</v>
      </c>
      <c r="C12" s="64">
        <v>4</v>
      </c>
      <c r="D12" s="64">
        <v>2</v>
      </c>
      <c r="E12" s="64">
        <v>0</v>
      </c>
      <c r="F12" s="65">
        <f t="shared" si="0"/>
        <v>6</v>
      </c>
      <c r="G12" s="65">
        <f t="shared" si="0"/>
        <v>12</v>
      </c>
    </row>
    <row r="13" spans="2:22" x14ac:dyDescent="0.3">
      <c r="B13" s="64">
        <v>24</v>
      </c>
      <c r="C13" s="64">
        <v>5</v>
      </c>
      <c r="D13" s="64">
        <v>2</v>
      </c>
      <c r="E13" s="64">
        <v>0</v>
      </c>
      <c r="F13" s="65">
        <f t="shared" si="0"/>
        <v>4</v>
      </c>
      <c r="G13" s="65">
        <f t="shared" si="0"/>
        <v>12</v>
      </c>
    </row>
    <row r="14" spans="2:22" x14ac:dyDescent="0.3">
      <c r="B14" s="64">
        <v>25</v>
      </c>
      <c r="C14" s="64">
        <v>6</v>
      </c>
      <c r="D14" s="64">
        <v>2</v>
      </c>
      <c r="E14" s="64">
        <v>0</v>
      </c>
      <c r="F14" s="65">
        <f t="shared" si="0"/>
        <v>2</v>
      </c>
      <c r="G14" s="65">
        <f t="shared" si="0"/>
        <v>12</v>
      </c>
    </row>
    <row r="15" spans="2:22" x14ac:dyDescent="0.3">
      <c r="B15" s="64">
        <v>26</v>
      </c>
      <c r="C15" s="64">
        <v>7</v>
      </c>
      <c r="D15" s="64">
        <v>2</v>
      </c>
      <c r="E15" s="64">
        <v>0</v>
      </c>
      <c r="F15" s="65">
        <f t="shared" si="0"/>
        <v>0</v>
      </c>
      <c r="G15" s="65">
        <f t="shared" si="0"/>
        <v>12</v>
      </c>
    </row>
  </sheetData>
  <mergeCells count="1">
    <mergeCell ref="B6:R6"/>
  </mergeCells>
  <pageMargins left="0.59055118110236227" right="0.98425196850393704" top="1.7716535433070868" bottom="0.98425196850393704" header="0.51181102362204722" footer="0.51181102362204722"/>
  <pageSetup paperSize="8" firstPageNumber="0" orientation="landscape" horizontalDpi="300" verticalDpi="300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C9664-C336-4947-B9C9-D8C10C697E8C}">
  <sheetPr>
    <tabColor rgb="FF00B050"/>
  </sheetPr>
  <dimension ref="B6:V15"/>
  <sheetViews>
    <sheetView showGridLines="0" zoomScaleNormal="100" workbookViewId="0">
      <selection activeCell="B13" sqref="B13:B15"/>
    </sheetView>
  </sheetViews>
  <sheetFormatPr defaultColWidth="8.6640625" defaultRowHeight="14.4" x14ac:dyDescent="0.3"/>
  <cols>
    <col min="1" max="1" width="4.109375" style="62" customWidth="1"/>
    <col min="2" max="2" width="15.33203125" style="62" customWidth="1"/>
    <col min="3" max="4" width="8.6640625" style="62"/>
    <col min="5" max="5" width="16" style="62" customWidth="1"/>
    <col min="6" max="6" width="12.88671875" style="62" customWidth="1"/>
    <col min="7" max="7" width="10.88671875" style="62" customWidth="1"/>
    <col min="8" max="16" width="8.6640625" style="62"/>
    <col min="17" max="17" width="9.33203125" style="62" customWidth="1"/>
    <col min="18" max="16384" width="8.6640625" style="62"/>
  </cols>
  <sheetData>
    <row r="6" spans="2:22" ht="23.4" x14ac:dyDescent="0.45">
      <c r="B6" s="60" t="s">
        <v>70</v>
      </c>
      <c r="C6" s="60"/>
      <c r="D6" s="60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1"/>
      <c r="T6" s="61"/>
      <c r="U6" s="61"/>
      <c r="V6" s="61"/>
    </row>
    <row r="8" spans="2:22" x14ac:dyDescent="0.3">
      <c r="B8" s="63" t="s">
        <v>76</v>
      </c>
      <c r="C8" s="63" t="s">
        <v>71</v>
      </c>
      <c r="D8" s="63" t="s">
        <v>72</v>
      </c>
      <c r="E8" s="63" t="s">
        <v>73</v>
      </c>
      <c r="F8" s="63" t="s">
        <v>74</v>
      </c>
      <c r="G8" s="63" t="s">
        <v>75</v>
      </c>
    </row>
    <row r="9" spans="2:22" x14ac:dyDescent="0.3">
      <c r="B9" s="64">
        <v>27</v>
      </c>
      <c r="C9" s="64">
        <f>1</f>
        <v>1</v>
      </c>
      <c r="D9" s="64">
        <v>2</v>
      </c>
      <c r="E9" s="64">
        <v>0</v>
      </c>
      <c r="F9" s="65">
        <v>12</v>
      </c>
      <c r="G9" s="65">
        <v>12</v>
      </c>
    </row>
    <row r="10" spans="2:22" x14ac:dyDescent="0.3">
      <c r="B10" s="64">
        <v>28</v>
      </c>
      <c r="C10" s="64">
        <v>2</v>
      </c>
      <c r="D10" s="64">
        <v>2</v>
      </c>
      <c r="E10" s="64">
        <v>0</v>
      </c>
      <c r="F10" s="65">
        <f>F9-D10</f>
        <v>10</v>
      </c>
      <c r="G10" s="65">
        <f>G9-E10</f>
        <v>12</v>
      </c>
    </row>
    <row r="11" spans="2:22" x14ac:dyDescent="0.3">
      <c r="B11" s="64">
        <v>29</v>
      </c>
      <c r="C11" s="64">
        <v>3</v>
      </c>
      <c r="D11" s="64">
        <v>2</v>
      </c>
      <c r="E11" s="64">
        <v>0</v>
      </c>
      <c r="F11" s="65">
        <f t="shared" ref="F11:G15" si="0">F10-D11</f>
        <v>8</v>
      </c>
      <c r="G11" s="65">
        <f t="shared" si="0"/>
        <v>12</v>
      </c>
    </row>
    <row r="12" spans="2:22" x14ac:dyDescent="0.3">
      <c r="B12" s="64">
        <v>30</v>
      </c>
      <c r="C12" s="64">
        <v>4</v>
      </c>
      <c r="D12" s="64">
        <v>2</v>
      </c>
      <c r="E12" s="64">
        <v>0</v>
      </c>
      <c r="F12" s="65">
        <f t="shared" si="0"/>
        <v>6</v>
      </c>
      <c r="G12" s="65">
        <f t="shared" si="0"/>
        <v>12</v>
      </c>
    </row>
    <row r="13" spans="2:22" x14ac:dyDescent="0.3">
      <c r="B13" s="64">
        <v>1</v>
      </c>
      <c r="C13" s="64">
        <v>5</v>
      </c>
      <c r="D13" s="64">
        <v>2</v>
      </c>
      <c r="E13" s="64">
        <v>0</v>
      </c>
      <c r="F13" s="65">
        <f t="shared" si="0"/>
        <v>4</v>
      </c>
      <c r="G13" s="65">
        <f t="shared" si="0"/>
        <v>12</v>
      </c>
    </row>
    <row r="14" spans="2:22" x14ac:dyDescent="0.3">
      <c r="B14" s="64">
        <v>2</v>
      </c>
      <c r="C14" s="64">
        <v>6</v>
      </c>
      <c r="D14" s="64">
        <v>2</v>
      </c>
      <c r="E14" s="64">
        <v>0</v>
      </c>
      <c r="F14" s="65">
        <f t="shared" si="0"/>
        <v>2</v>
      </c>
      <c r="G14" s="65">
        <f t="shared" si="0"/>
        <v>12</v>
      </c>
    </row>
    <row r="15" spans="2:22" x14ac:dyDescent="0.3">
      <c r="B15" s="64">
        <v>3</v>
      </c>
      <c r="C15" s="64">
        <v>7</v>
      </c>
      <c r="D15" s="64">
        <v>2</v>
      </c>
      <c r="E15" s="64">
        <v>0</v>
      </c>
      <c r="F15" s="65">
        <f t="shared" si="0"/>
        <v>0</v>
      </c>
      <c r="G15" s="65">
        <f t="shared" si="0"/>
        <v>12</v>
      </c>
    </row>
  </sheetData>
  <mergeCells count="1">
    <mergeCell ref="B6:R6"/>
  </mergeCells>
  <pageMargins left="0.59055118110236227" right="0.98425196850393704" top="1.7716535433070868" bottom="0.98425196850393704" header="0.51181102362204722" footer="0.51181102362204722"/>
  <pageSetup paperSize="8" firstPageNumber="0" orientation="landscape" horizontalDpi="300" verticalDpi="300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4E848-FC93-40D1-A977-941B987FA5D5}">
  <sheetPr>
    <tabColor rgb="FF00B050"/>
  </sheetPr>
  <dimension ref="B6:V14"/>
  <sheetViews>
    <sheetView showGridLines="0" zoomScaleNormal="100" workbookViewId="0">
      <selection activeCell="B9" sqref="B9"/>
    </sheetView>
  </sheetViews>
  <sheetFormatPr defaultColWidth="8.6640625" defaultRowHeight="14.4" x14ac:dyDescent="0.3"/>
  <cols>
    <col min="1" max="1" width="4.109375" style="62" customWidth="1"/>
    <col min="2" max="2" width="15.33203125" style="62" customWidth="1"/>
    <col min="3" max="4" width="8.6640625" style="62"/>
    <col min="5" max="5" width="16" style="62" customWidth="1"/>
    <col min="6" max="6" width="12.88671875" style="62" customWidth="1"/>
    <col min="7" max="7" width="10.88671875" style="62" customWidth="1"/>
    <col min="8" max="16" width="8.6640625" style="62"/>
    <col min="17" max="17" width="9.33203125" style="62" customWidth="1"/>
    <col min="18" max="16384" width="8.6640625" style="62"/>
  </cols>
  <sheetData>
    <row r="6" spans="2:22" ht="23.4" x14ac:dyDescent="0.45">
      <c r="B6" s="60" t="s">
        <v>70</v>
      </c>
      <c r="C6" s="60"/>
      <c r="D6" s="60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1"/>
      <c r="T6" s="61"/>
      <c r="U6" s="61"/>
      <c r="V6" s="61"/>
    </row>
    <row r="8" spans="2:22" x14ac:dyDescent="0.3">
      <c r="B8" s="63" t="s">
        <v>77</v>
      </c>
      <c r="C8" s="63" t="s">
        <v>71</v>
      </c>
      <c r="D8" s="63" t="s">
        <v>72</v>
      </c>
      <c r="E8" s="63" t="s">
        <v>73</v>
      </c>
      <c r="F8" s="63" t="s">
        <v>74</v>
      </c>
      <c r="G8" s="63" t="s">
        <v>75</v>
      </c>
    </row>
    <row r="9" spans="2:22" x14ac:dyDescent="0.3">
      <c r="B9" s="64">
        <v>4</v>
      </c>
      <c r="C9" s="64">
        <f>1</f>
        <v>1</v>
      </c>
      <c r="D9" s="64">
        <v>2</v>
      </c>
      <c r="E9" s="64">
        <v>0</v>
      </c>
      <c r="F9" s="65">
        <v>10</v>
      </c>
      <c r="G9" s="65">
        <v>10</v>
      </c>
    </row>
    <row r="10" spans="2:22" x14ac:dyDescent="0.3">
      <c r="B10" s="64">
        <v>5</v>
      </c>
      <c r="C10" s="64">
        <v>2</v>
      </c>
      <c r="D10" s="64">
        <v>2</v>
      </c>
      <c r="E10" s="64">
        <v>0</v>
      </c>
      <c r="F10" s="65">
        <f>F9-D10</f>
        <v>8</v>
      </c>
      <c r="G10" s="65">
        <f>G9-E10</f>
        <v>10</v>
      </c>
    </row>
    <row r="11" spans="2:22" x14ac:dyDescent="0.3">
      <c r="B11" s="64">
        <v>6</v>
      </c>
      <c r="C11" s="64">
        <v>3</v>
      </c>
      <c r="D11" s="64">
        <v>2</v>
      </c>
      <c r="E11" s="64">
        <v>0</v>
      </c>
      <c r="F11" s="65">
        <f t="shared" ref="F11:G14" si="0">F10-D11</f>
        <v>6</v>
      </c>
      <c r="G11" s="65">
        <f t="shared" si="0"/>
        <v>10</v>
      </c>
    </row>
    <row r="12" spans="2:22" x14ac:dyDescent="0.3">
      <c r="B12" s="64">
        <v>7</v>
      </c>
      <c r="C12" s="64">
        <v>4</v>
      </c>
      <c r="D12" s="64">
        <v>2</v>
      </c>
      <c r="E12" s="64">
        <v>0</v>
      </c>
      <c r="F12" s="65">
        <f t="shared" si="0"/>
        <v>4</v>
      </c>
      <c r="G12" s="65">
        <f t="shared" si="0"/>
        <v>10</v>
      </c>
    </row>
    <row r="13" spans="2:22" x14ac:dyDescent="0.3">
      <c r="B13" s="64">
        <v>8</v>
      </c>
      <c r="C13" s="64">
        <v>5</v>
      </c>
      <c r="D13" s="64">
        <v>2</v>
      </c>
      <c r="E13" s="64">
        <v>0</v>
      </c>
      <c r="F13" s="65">
        <f t="shared" si="0"/>
        <v>2</v>
      </c>
      <c r="G13" s="65">
        <f t="shared" si="0"/>
        <v>10</v>
      </c>
    </row>
    <row r="14" spans="2:22" x14ac:dyDescent="0.3">
      <c r="B14" s="64">
        <v>9</v>
      </c>
      <c r="C14" s="64">
        <v>6</v>
      </c>
      <c r="D14" s="64">
        <v>2</v>
      </c>
      <c r="E14" s="64">
        <v>0</v>
      </c>
      <c r="F14" s="65">
        <f t="shared" si="0"/>
        <v>0</v>
      </c>
      <c r="G14" s="65">
        <f t="shared" si="0"/>
        <v>10</v>
      </c>
    </row>
  </sheetData>
  <mergeCells count="1">
    <mergeCell ref="B6:R6"/>
  </mergeCells>
  <pageMargins left="0.59055118110236227" right="0.98425196850393704" top="1.7716535433070868" bottom="0.98425196850393704" header="0.51181102362204722" footer="0.51181102362204722"/>
  <pageSetup paperSize="8" firstPageNumber="0" orientation="landscape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8</vt:i4>
      </vt:variant>
    </vt:vector>
  </HeadingPairs>
  <TitlesOfParts>
    <vt:vector size="8" baseType="lpstr">
      <vt:lpstr>Folha1</vt:lpstr>
      <vt:lpstr>Gestão de riscos</vt:lpstr>
      <vt:lpstr>Test Check to US</vt:lpstr>
      <vt:lpstr>BURNDOWN CHART 1ºSprint</vt:lpstr>
      <vt:lpstr>BURNDOWN CHART 2ºSprint </vt:lpstr>
      <vt:lpstr>BURNDOWN CHART 3ºSprint </vt:lpstr>
      <vt:lpstr>BURNDOWN CHART 4ºSprint</vt:lpstr>
      <vt:lpstr>BURNDOWN CHART 5ºSprint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Rafael Felicio da Conceição</dc:creator>
  <cp:lastModifiedBy>Pedro Rafael Felicio da Conceição</cp:lastModifiedBy>
  <dcterms:created xsi:type="dcterms:W3CDTF">2025-10-19T09:11:42Z</dcterms:created>
  <dcterms:modified xsi:type="dcterms:W3CDTF">2025-10-19T09:34:50Z</dcterms:modified>
</cp:coreProperties>
</file>